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2" codeName="{00000000-0000-0000-0000-000000000000}"/>
  <workbookPr codeName="ThisWorkbook" hidePivotFieldList="1"/>
  <mc:AlternateContent xmlns:mc="http://schemas.openxmlformats.org/markup-compatibility/2006">
    <mc:Choice Requires="x15">
      <x15ac:absPath xmlns:x15ac="http://schemas.microsoft.com/office/spreadsheetml/2010/11/ac" url="https://d.docs.live.net/086E7F77197F2D7C/Documents/"/>
    </mc:Choice>
  </mc:AlternateContent>
  <xr:revisionPtr revIDLastSave="1266" documentId="8_{1E6DC1FF-9C08-4C6A-AAF7-8FDEA68C0AE2}" xr6:coauthVersionLast="47" xr6:coauthVersionMax="47" xr10:uidLastSave="{B9850289-D91C-4A7F-9F7D-665D119FFEB6}"/>
  <bookViews>
    <workbookView xWindow="-98" yWindow="-98" windowWidth="21795" windowHeight="12975" firstSheet="2" activeTab="2" xr2:uid="{69B1D35A-ED09-43E6-A75C-F6768C5F3C1B}"/>
  </bookViews>
  <sheets>
    <sheet name="Analysis" sheetId="1" r:id="rId1"/>
    <sheet name="TimeAnalysis" sheetId="2" r:id="rId2"/>
    <sheet name="InfoAnalysis" sheetId="4" r:id="rId3"/>
  </sheets>
  <definedNames>
    <definedName name="Slicer_Gender">#N/A</definedName>
    <definedName name="Slicer_RouteName">#N/A</definedName>
    <definedName name="Slicer_Year">#N/A</definedName>
  </definedNames>
  <calcPr calcId="191028"/>
  <pivotCaches>
    <pivotCache cacheId="11645" r:id="rId4"/>
    <pivotCache cacheId="11646" r:id="rId5"/>
    <pivotCache cacheId="11647" r:id="rId6"/>
    <pivotCache cacheId="11648" r:id="rId7"/>
    <pivotCache cacheId="11649" r:id="rId8"/>
    <pivotCache cacheId="11650" r:id="rId9"/>
    <pivotCache cacheId="11651" r:id="rId10"/>
    <pivotCache cacheId="11652" r:id="rId11"/>
    <pivotCache cacheId="11653" r:id="rId12"/>
    <pivotCache cacheId="11654" r:id="rId13"/>
    <pivotCache cacheId="11655" r:id="rId14"/>
    <pivotCache cacheId="11656" r:id="rId15"/>
    <pivotCache cacheId="11657" r:id="rId16"/>
    <pivotCache cacheId="11658" r:id="rId17"/>
    <pivotCache cacheId="11659" r:id="rId18"/>
    <pivotCache cacheId="11660" r:id="rId19"/>
    <pivotCache cacheId="11661" r:id="rId20"/>
    <pivotCache cacheId="11662" r:id="rId21"/>
    <pivotCache cacheId="11663" r:id="rId22"/>
    <pivotCache cacheId="11664" r:id="rId23"/>
  </pivotCaches>
  <extLst>
    <ext xmlns:x14="http://schemas.microsoft.com/office/spreadsheetml/2009/9/main" uri="{876F7934-8845-4945-9796-88D515C7AA90}">
      <x14:pivotCaches>
        <pivotCache cacheId="11665" r:id="rId24"/>
      </x14:pivotCaches>
    </ex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table_ridership_f7d2f982-8330-4876-b591-58fff064128f" name="Facttable_ridership" connection="Query - Facttable_ridership"/>
          <x15:modelTable id="Dim_routes_d92b6638-9aec-4c13-87c3-de6921cdb06d" name="Dim_routes" connection="Query - Dim_routes"/>
          <x15:modelTable id="Dim_demographics_25840ed6-f912-4baa-83ac-de49e1d4cc34" name="Dim_demographics" connection="Query - Dim_demographics"/>
          <x15:modelTable id="Dim_buses_f9b2143b-c69c-47ef-adbd-2f5ee5605728" name="Dim_buses" connection="Query - Dim_buses"/>
          <x15:modelTable id="Dim_Date_c759d457-ceae-4506-8d2a-7d26d69bb5a1" name="Dim_Date" connection="Query - Dim_Date"/>
          <x15:modelTable id="Calculation_72e4b594-a04d-42f8-99fa-d5b637dc24e4" name="Calculation" connection="Query - Calculation"/>
        </x15:modelTables>
        <x15:modelRelationships>
          <x15:modelRelationship fromTable="Facttable_ridership" fromColumn="BusID" toTable="Dim_buses" toColumn="BusID"/>
          <x15:modelRelationship fromTable="Facttable_ridership" fromColumn="RiderID" toTable="Dim_demographics" toColumn="RiderID"/>
          <x15:modelRelationship fromTable="Facttable_ridership" fromColumn="Date" toTable="Dim_Date" toColumn="Date"/>
          <x15:modelRelationship fromTable="Dim_buses" fromColumn="RouteID" toTable="Dim_routes" toColumn="RouteID"/>
        </x15:modelRelationships>
        <x15:extLst>
          <ext xmlns:x16="http://schemas.microsoft.com/office/spreadsheetml/2014/11/main" uri="{9835A34E-60A6-4A7C-AAB8-D5F71C897F49}">
            <x16:modelTimeGroupings>
              <x16:modelTimeGrouping tableName="Facttable_ridership" columnName="Time" columnId="Time">
                <x16:calculatedTimeColumn columnName="Time (Hour)" columnId="Time (Hour)" contentType="hours" isSelected="1"/>
                <x16:calculatedTimeColumn columnName="Time (Minute)" columnId="Time (Minute)" contentType="minute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K18" i="1" l="1"/>
  <c r="BL18" i="1"/>
  <c r="BK19" i="1"/>
  <c r="BL19" i="1"/>
  <c r="BK20" i="1"/>
  <c r="BL20" i="1"/>
  <c r="BK21" i="1"/>
  <c r="BL21" i="1"/>
  <c r="BK22" i="1"/>
  <c r="BL22" i="1"/>
  <c r="BK23" i="1"/>
  <c r="BL23" i="1"/>
  <c r="BL17" i="1"/>
  <c r="BK17" i="1"/>
  <c r="BF9" i="1"/>
  <c r="BG9" i="1"/>
  <c r="BF10" i="1"/>
  <c r="BG10" i="1"/>
  <c r="BF11" i="1"/>
  <c r="BG11" i="1"/>
  <c r="BF12" i="1"/>
  <c r="BG12" i="1"/>
  <c r="BF13" i="1"/>
  <c r="BG13" i="1"/>
  <c r="BG8" i="1"/>
  <c r="BF8" i="1"/>
  <c r="BM23" i="1" l="1"/>
  <c r="BM22" i="1"/>
  <c r="BM20" i="1"/>
  <c r="BM19" i="1"/>
  <c r="BM21" i="1"/>
  <c r="BM18" i="1"/>
  <c r="AL20" i="1" l="1"/>
  <c r="AM20" i="1"/>
  <c r="AL21" i="1"/>
  <c r="AM21" i="1"/>
  <c r="AL22" i="1"/>
  <c r="AM22" i="1"/>
  <c r="AL23" i="1"/>
  <c r="AM23" i="1"/>
  <c r="AL24" i="1"/>
  <c r="AM24" i="1"/>
  <c r="AL25" i="1"/>
  <c r="AM25" i="1"/>
  <c r="AL26" i="1"/>
  <c r="AM26" i="1"/>
  <c r="AL27" i="1"/>
  <c r="AM27" i="1"/>
  <c r="AL28" i="1"/>
  <c r="AM28" i="1"/>
  <c r="AL29" i="1"/>
  <c r="AM29" i="1"/>
  <c r="AN19" i="1"/>
  <c r="AM19" i="1"/>
  <c r="AL19" i="1"/>
  <c r="AP7" i="1"/>
  <c r="AP8" i="1"/>
  <c r="AP9" i="1"/>
  <c r="X8" i="1"/>
  <c r="X9" i="1"/>
  <c r="X7" i="1"/>
  <c r="W14" i="1"/>
  <c r="X14" i="1" s="1"/>
  <c r="W15" i="1"/>
  <c r="X15" i="1" s="1"/>
  <c r="W13" i="1"/>
  <c r="X13" i="1" s="1"/>
  <c r="V13" i="1"/>
  <c r="V14" i="1"/>
  <c r="V15" i="1"/>
  <c r="V12" i="1"/>
  <c r="Q29" i="1"/>
  <c r="Q28" i="1"/>
  <c r="O17" i="1"/>
  <c r="P17" i="1"/>
  <c r="O18" i="1"/>
  <c r="P18" i="1"/>
  <c r="O19" i="1"/>
  <c r="P19" i="1"/>
  <c r="O20" i="1"/>
  <c r="P20" i="1"/>
  <c r="O21" i="1"/>
  <c r="P21" i="1"/>
  <c r="O22" i="1"/>
  <c r="P22" i="1"/>
  <c r="O23" i="1"/>
  <c r="P23" i="1"/>
  <c r="P16" i="1"/>
  <c r="O16" i="1"/>
  <c r="AN8" i="1" l="1" a="1"/>
  <c r="AN8" i="1" s="1"/>
  <c r="AN21" i="1" s="1"/>
  <c r="AN15" i="1" a="1"/>
  <c r="AN15" i="1" s="1"/>
  <c r="AN28" i="1" s="1"/>
  <c r="AN13" i="1" a="1"/>
  <c r="AN13" i="1" s="1"/>
  <c r="AN26" i="1" s="1"/>
  <c r="AN7" i="1" a="1"/>
  <c r="AN7" i="1" s="1"/>
  <c r="AN20" i="1" s="1"/>
  <c r="AN16" i="1" a="1"/>
  <c r="AN16" i="1" s="1"/>
  <c r="AN29" i="1" s="1"/>
  <c r="AN14" i="1" a="1"/>
  <c r="AN14" i="1" s="1"/>
  <c r="AN27" i="1" s="1"/>
  <c r="AN12" i="1" a="1"/>
  <c r="AN12" i="1" s="1"/>
  <c r="AN25" i="1" s="1"/>
  <c r="AN11" i="1" a="1"/>
  <c r="AN11" i="1" s="1"/>
  <c r="AN24" i="1" s="1"/>
  <c r="AN10" i="1" a="1"/>
  <c r="AN10" i="1" s="1"/>
  <c r="AN23" i="1" s="1"/>
  <c r="AN9" i="1" a="1"/>
  <c r="AN9" i="1" s="1"/>
  <c r="AN22" i="1" s="1"/>
  <c r="Q20" i="1"/>
  <c r="R20" i="1" s="1"/>
  <c r="Q19" i="1"/>
  <c r="R19" i="1" s="1"/>
  <c r="Q18" i="1"/>
  <c r="R18" i="1" s="1"/>
  <c r="Q17" i="1"/>
  <c r="R17" i="1" s="1"/>
  <c r="Q23" i="1"/>
  <c r="R23" i="1" s="1"/>
  <c r="Q22" i="1"/>
  <c r="R22" i="1" s="1"/>
  <c r="Q21" i="1"/>
  <c r="R21" i="1" s="1"/>
  <c r="AN31" i="1" l="1"/>
  <c r="R2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AC4D959-E07C-4AB1-9EAE-1436A4535264}" name="Query - Calculation" description="Connection to the 'Calculation' query in the workbook." type="100" refreshedVersion="8" minRefreshableVersion="5">
    <extLst>
      <ext xmlns:x15="http://schemas.microsoft.com/office/spreadsheetml/2010/11/main" uri="{DE250136-89BD-433C-8126-D09CA5730AF9}">
        <x15:connection id="0297a125-22e2-45ce-aaa4-1684240e84ae">
          <x15:oledbPr connection="Provider=Microsoft.Mashup.OleDb.1;Data Source=$Workbook$;Location=Calculation;Extended Properties=&quot;&quot;">
            <x15:dbTables>
              <x15:dbTable name="Calculation"/>
            </x15:dbTables>
          </x15:oledbPr>
        </x15:connection>
      </ext>
    </extLst>
  </connection>
  <connection id="2" xr16:uid="{F6A16835-CFA0-4B48-9C32-E4CFBC18C229}" name="Query - Dim_buses" description="Connection to the 'Dim_buses' query in the workbook." type="100" refreshedVersion="8" minRefreshableVersion="5">
    <extLst>
      <ext xmlns:x15="http://schemas.microsoft.com/office/spreadsheetml/2010/11/main" uri="{DE250136-89BD-433C-8126-D09CA5730AF9}">
        <x15:connection id="9378ddd1-8195-4c2a-8848-da761881e7a0"/>
      </ext>
    </extLst>
  </connection>
  <connection id="3" xr16:uid="{ECF448F6-66A9-42A3-9506-3877F36679A2}" name="Query - Dim_Date" description="Connection to the 'Dim_Date' query in the workbook." type="100" refreshedVersion="8" minRefreshableVersion="5">
    <extLst>
      <ext xmlns:x15="http://schemas.microsoft.com/office/spreadsheetml/2010/11/main" uri="{DE250136-89BD-433C-8126-D09CA5730AF9}">
        <x15:connection id="6768b59a-95ef-4cee-9e2d-91a32e5f0abe">
          <x15:oledbPr connection="Provider=Microsoft.Mashup.OleDb.1;Data Source=$Workbook$;Location=Dim_Date;Extended Properties=&quot;&quot;">
            <x15:dbTables>
              <x15:dbTable name="Dim_Date"/>
            </x15:dbTables>
          </x15:oledbPr>
        </x15:connection>
      </ext>
    </extLst>
  </connection>
  <connection id="4" xr16:uid="{4EFF8D07-E99F-4DFD-BA72-00A93DAA6897}" name="Query - Dim_demographics" description="Connection to the 'Dim_demographics' query in the workbook." type="100" refreshedVersion="8" minRefreshableVersion="5">
    <extLst>
      <ext xmlns:x15="http://schemas.microsoft.com/office/spreadsheetml/2010/11/main" uri="{DE250136-89BD-433C-8126-D09CA5730AF9}">
        <x15:connection id="8b3a3c8c-cd57-4a83-b98e-2e67a43739a3">
          <x15:oledbPr connection="Provider=Microsoft.Mashup.OleDb.1;Data Source=$Workbook$;Location=Dim_demographics;Extended Properties=&quot;&quot;">
            <x15:dbTables>
              <x15:dbTable name="Dim_demographics"/>
            </x15:dbTables>
          </x15:oledbPr>
        </x15:connection>
      </ext>
    </extLst>
  </connection>
  <connection id="5" xr16:uid="{7EDD49F9-D38C-46EB-8C32-37D4EC1CFAE0}" name="Query - Dim_routes" description="Connection to the 'Dim_routes' query in the workbook." type="100" refreshedVersion="8" minRefreshableVersion="5">
    <extLst>
      <ext xmlns:x15="http://schemas.microsoft.com/office/spreadsheetml/2010/11/main" uri="{DE250136-89BD-433C-8126-D09CA5730AF9}">
        <x15:connection id="fe9734de-8bd9-40fb-a0ef-8a1654591b8c">
          <x15:oledbPr connection="Provider=Microsoft.Mashup.OleDb.1;Data Source=$Workbook$;Location=Dim_routes;Extended Properties=&quot;&quot;">
            <x15:dbTables>
              <x15:dbTable name="Dim_routes"/>
            </x15:dbTables>
          </x15:oledbPr>
        </x15:connection>
      </ext>
    </extLst>
  </connection>
  <connection id="6" xr16:uid="{3EA67E9F-609F-4E39-B56C-A6F78CFCEB5B}" name="Query - Facttable_ridership" description="Connection to the 'Facttable_ridership' query in the workbook." type="100" refreshedVersion="8" minRefreshableVersion="5">
    <extLst>
      <ext xmlns:x15="http://schemas.microsoft.com/office/spreadsheetml/2010/11/main" uri="{DE250136-89BD-433C-8126-D09CA5730AF9}">
        <x15:connection id="935a88e8-30eb-4849-96df-156ab2a71b28"/>
      </ext>
    </extLst>
  </connection>
  <connection id="7" xr16:uid="{1064CE0C-0D2F-430C-A739-55F01702ADB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<sst xmlns="http://schemas.openxmlformats.org/spreadsheetml/2006/main" count="96" uniqueCount="72">
  <si>
    <t>Dashboard 1</t>
  </si>
  <si>
    <t>Total Riders (Passangers)</t>
  </si>
  <si>
    <t>Average Riders Per Trip</t>
  </si>
  <si>
    <t>Time Group</t>
  </si>
  <si>
    <t>Year</t>
  </si>
  <si>
    <t>Sum of NumberOfRiders</t>
  </si>
  <si>
    <t>Utilization Type</t>
  </si>
  <si>
    <t>Total Buses</t>
  </si>
  <si>
    <t>Operation moment</t>
  </si>
  <si>
    <t>Sum of NumberOfRiders2</t>
  </si>
  <si>
    <t>Revenue</t>
  </si>
  <si>
    <t>RouteName</t>
  </si>
  <si>
    <t>Highlight</t>
  </si>
  <si>
    <t>Gender</t>
  </si>
  <si>
    <t>Option Button</t>
  </si>
  <si>
    <t>5 PM - 12 AM</t>
  </si>
  <si>
    <t>Over Utilized</t>
  </si>
  <si>
    <t>AM</t>
  </si>
  <si>
    <t>East-West Express</t>
  </si>
  <si>
    <t>Female</t>
  </si>
  <si>
    <t>top/bottom 5</t>
  </si>
  <si>
    <t>12 AM - 12 PM</t>
  </si>
  <si>
    <t>Under Utilized</t>
  </si>
  <si>
    <t>PM</t>
  </si>
  <si>
    <t>Central Line</t>
  </si>
  <si>
    <t>Male</t>
  </si>
  <si>
    <t>BusID</t>
  </si>
  <si>
    <t>Age Group</t>
  </si>
  <si>
    <t>Average Age</t>
  </si>
  <si>
    <t>Occupation</t>
  </si>
  <si>
    <t>12 PM - 5 PM</t>
  </si>
  <si>
    <t>Well Utilized</t>
  </si>
  <si>
    <t>Airport Express</t>
  </si>
  <si>
    <t>Other</t>
  </si>
  <si>
    <t>18-30</t>
  </si>
  <si>
    <t>Professional</t>
  </si>
  <si>
    <t>Total Trip</t>
  </si>
  <si>
    <t>University Line</t>
  </si>
  <si>
    <t>30-40</t>
  </si>
  <si>
    <t>Busiest  Route</t>
  </si>
  <si>
    <t>Month Name</t>
  </si>
  <si>
    <t>Suburban Line</t>
  </si>
  <si>
    <t>40-50</t>
  </si>
  <si>
    <t>Retired</t>
  </si>
  <si>
    <t>Time</t>
  </si>
  <si>
    <t>Jan</t>
  </si>
  <si>
    <t>%age</t>
  </si>
  <si>
    <t>%age Left</t>
  </si>
  <si>
    <t>Market Line</t>
  </si>
  <si>
    <t>50-60</t>
  </si>
  <si>
    <t>Self-Employed</t>
  </si>
  <si>
    <t>Dec</t>
  </si>
  <si>
    <t>City Shuttle</t>
  </si>
  <si>
    <t>60 Plus</t>
  </si>
  <si>
    <t>Unemployed</t>
  </si>
  <si>
    <t>Least Busiest Route</t>
  </si>
  <si>
    <t>Beachfront Route</t>
  </si>
  <si>
    <t>Under 18</t>
  </si>
  <si>
    <t>Student</t>
  </si>
  <si>
    <t>South Line</t>
  </si>
  <si>
    <t>North Circular</t>
  </si>
  <si>
    <t>Day Name</t>
  </si>
  <si>
    <t>Average</t>
  </si>
  <si>
    <t>Above Average</t>
  </si>
  <si>
    <t>Sat</t>
  </si>
  <si>
    <t>Sun</t>
  </si>
  <si>
    <t>Mon</t>
  </si>
  <si>
    <t>Tue</t>
  </si>
  <si>
    <t>Wed</t>
  </si>
  <si>
    <t>Thu</t>
  </si>
  <si>
    <t>Fri</t>
  </si>
  <si>
    <t>Above Average %age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</si>
</sst>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_-[$$-409]* #,##0_ ;_-[$$-409]* \-#,##0\ ;_-[$$-409]* &quot;-&quot;??_ ;_-@_ "/>
  </numFmts>
  <fonts count="7">
    <font>
      <sz val="11"/>
      <color theme="1"/>
      <name val="Aptos Narrow"/>
      <family val="2"/>
      <scheme val="minor"/>
    </font>
    <font>
      <b/>
      <sz val="11"/>
      <color theme="0"/>
      <name val="Aptos Narrow"/>
      <family val="2"/>
      <scheme val="minor"/>
    </font>
    <font>
      <sz val="11"/>
      <color theme="1"/>
      <name val="Aptos Narrow"/>
      <family val="2"/>
      <scheme val="minor"/>
    </font>
    <font>
      <sz val="11"/>
      <color theme="0"/>
      <name val="Aptos Narrow"/>
      <family val="2"/>
      <scheme val="minor"/>
    </font>
    <font>
      <sz val="11"/>
      <color theme="2"/>
      <name val="Aptos Narrow"/>
      <family val="2"/>
      <scheme val="minor"/>
    </font>
    <font>
      <sz val="18"/>
      <color theme="0"/>
      <name val="Aptos Narrow"/>
      <family val="2"/>
      <scheme val="minor"/>
    </font>
    <font>
      <sz val="8"/>
      <name val="Aptos Narrow"/>
      <family val="2"/>
      <scheme val="minor"/>
    </font>
  </fonts>
  <fills count="8">
    <fill>
      <patternFill patternType="none"/>
    </fill>
    <fill>
      <patternFill patternType="gray125"/>
    </fill>
    <fill>
      <patternFill patternType="solid">
        <fgColor theme="1"/>
        <bgColor indexed="64"/>
      </patternFill>
    </fill>
    <fill>
      <patternFill patternType="solid">
        <fgColor theme="1" tint="0.249977111117893"/>
        <bgColor indexed="64"/>
      </patternFill>
    </fill>
    <fill>
      <patternFill patternType="solid">
        <fgColor rgb="FF6D49F2"/>
        <bgColor indexed="64"/>
      </patternFill>
    </fill>
    <fill>
      <patternFill patternType="solid">
        <fgColor rgb="FF0CF25D"/>
        <bgColor indexed="64"/>
      </patternFill>
    </fill>
    <fill>
      <patternFill patternType="solid">
        <fgColor theme="1" tint="0.34998626667073579"/>
        <bgColor indexed="64"/>
      </patternFill>
    </fill>
    <fill>
      <patternFill patternType="solid">
        <fgColor theme="2" tint="-9.9978637043366805E-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2">
    <xf numFmtId="0" fontId="0" fillId="0" borderId="0"/>
    <xf numFmtId="9" fontId="2" fillId="0" borderId="0" applyFont="0" applyFill="0" applyBorder="0" applyAlignment="0" applyProtection="0"/>
  </cellStyleXfs>
  <cellXfs count="40">
    <xf numFmtId="0" fontId="0" fillId="0" borderId="0" xfId="0"/>
    <xf numFmtId="0" fontId="0" fillId="0" borderId="0" xfId="0" pivotButton="1"/>
    <xf numFmtId="1" fontId="0" fillId="0" borderId="0" xfId="0" applyNumberFormat="1"/>
    <xf numFmtId="0" fontId="1" fillId="2" borderId="0" xfId="0" applyFont="1" applyFill="1"/>
    <xf numFmtId="0" fontId="0" fillId="3" borderId="0" xfId="0" applyFill="1"/>
    <xf numFmtId="19" fontId="0" fillId="0" borderId="0" xfId="0" applyNumberFormat="1"/>
    <xf numFmtId="10" fontId="0" fillId="0" borderId="0" xfId="0" applyNumberFormat="1"/>
    <xf numFmtId="0" fontId="0" fillId="2" borderId="0" xfId="0" applyFill="1"/>
    <xf numFmtId="0" fontId="3" fillId="2" borderId="0" xfId="0" applyFont="1" applyFill="1"/>
    <xf numFmtId="0" fontId="3" fillId="2" borderId="1" xfId="0" applyFont="1" applyFill="1" applyBorder="1"/>
    <xf numFmtId="0" fontId="0" fillId="0" borderId="1" xfId="0" applyBorder="1"/>
    <xf numFmtId="164" fontId="3" fillId="2" borderId="0" xfId="1" applyNumberFormat="1" applyFont="1" applyFill="1"/>
    <xf numFmtId="9" fontId="0" fillId="0" borderId="1" xfId="1" applyFont="1" applyBorder="1"/>
    <xf numFmtId="9" fontId="0" fillId="0" borderId="0" xfId="0" applyNumberFormat="1"/>
    <xf numFmtId="3" fontId="0" fillId="0" borderId="0" xfId="0" applyNumberFormat="1"/>
    <xf numFmtId="9" fontId="0" fillId="0" borderId="1" xfId="0" applyNumberFormat="1" applyBorder="1"/>
    <xf numFmtId="0" fontId="0" fillId="4" borderId="0" xfId="0" applyFill="1"/>
    <xf numFmtId="0" fontId="5" fillId="4" borderId="0" xfId="0" applyFont="1" applyFill="1" applyAlignment="1">
      <alignment vertical="center"/>
    </xf>
    <xf numFmtId="0" fontId="0" fillId="4" borderId="0" xfId="0" applyFill="1" applyAlignment="1">
      <alignment vertical="center"/>
    </xf>
    <xf numFmtId="165" fontId="0" fillId="0" borderId="0" xfId="0" applyNumberFormat="1"/>
    <xf numFmtId="0" fontId="4" fillId="4" borderId="0" xfId="0" applyFont="1" applyFill="1"/>
    <xf numFmtId="0" fontId="4" fillId="6" borderId="0" xfId="0" applyFont="1" applyFill="1"/>
    <xf numFmtId="0" fontId="0" fillId="6" borderId="0" xfId="0" applyFill="1"/>
    <xf numFmtId="0" fontId="5" fillId="5" borderId="0" xfId="0" applyFont="1" applyFill="1" applyAlignment="1">
      <alignment vertical="center"/>
    </xf>
    <xf numFmtId="0" fontId="0" fillId="5" borderId="0" xfId="0" applyFill="1" applyAlignment="1">
      <alignment vertical="center"/>
    </xf>
    <xf numFmtId="0" fontId="5" fillId="6" borderId="0" xfId="0" applyFont="1" applyFill="1" applyAlignment="1">
      <alignment vertical="center"/>
    </xf>
    <xf numFmtId="0" fontId="0" fillId="0" borderId="1" xfId="0" pivotButton="1" applyBorder="1"/>
    <xf numFmtId="9" fontId="0" fillId="0" borderId="0" xfId="1" applyFont="1"/>
    <xf numFmtId="0" fontId="0" fillId="0" borderId="2" xfId="0" applyBorder="1"/>
    <xf numFmtId="0" fontId="3" fillId="2" borderId="3" xfId="0" applyFont="1" applyFill="1" applyBorder="1"/>
    <xf numFmtId="0" fontId="0" fillId="6" borderId="0" xfId="0" applyFill="1" applyAlignment="1">
      <alignment vertical="center"/>
    </xf>
    <xf numFmtId="1" fontId="0" fillId="0" borderId="1" xfId="0" applyNumberFormat="1" applyBorder="1"/>
    <xf numFmtId="0" fontId="0" fillId="5" borderId="0" xfId="0" applyFill="1"/>
    <xf numFmtId="0" fontId="0" fillId="0" borderId="1" xfId="0" pivotButton="1" applyBorder="1" applyAlignment="1">
      <alignment vertical="center"/>
    </xf>
    <xf numFmtId="0" fontId="0" fillId="0" borderId="1" xfId="0" applyBorder="1" applyAlignment="1">
      <alignment vertical="center"/>
    </xf>
    <xf numFmtId="0" fontId="0" fillId="0" borderId="0" xfId="0" applyNumberFormat="1"/>
    <xf numFmtId="0" fontId="0" fillId="0" borderId="1" xfId="0" applyNumberFormat="1" applyBorder="1"/>
    <xf numFmtId="0" fontId="0" fillId="0" borderId="1" xfId="0" applyNumberFormat="1" applyBorder="1" applyAlignment="1">
      <alignment vertical="center"/>
    </xf>
    <xf numFmtId="0" fontId="0" fillId="7" borderId="4" xfId="0" applyFill="1" applyBorder="1" applyAlignment="1">
      <alignment horizontal="center" vertical="center"/>
    </xf>
    <xf numFmtId="0" fontId="3" fillId="7" borderId="4" xfId="0" applyFont="1" applyFill="1" applyBorder="1" applyAlignment="1">
      <alignment horizontal="center" vertical="center"/>
    </xf>
  </cellXfs>
  <cellStyles count="2">
    <cellStyle name="Normal" xfId="0" builtinId="0"/>
    <cellStyle name="Percent" xfId="1" builtinId="5"/>
  </cellStyles>
  <dxfs count="47">
    <dxf>
      <numFmt numFmtId="1" formatCode="0"/>
    </dxf>
    <dxf>
      <numFmt numFmtId="0" formatCode="Genera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numFmt numFmtId="0" formatCode="Genera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3" formatCode="0%"/>
    </dxf>
    <dxf>
      <numFmt numFmtId="0" formatCode="Genera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vertical="center"/>
    </dxf>
    <dxf>
      <alignment vertical="center"/>
    </dxf>
    <dxf>
      <alignment vertical="center"/>
    </dxf>
    <dxf>
      <alignment vertical="center"/>
    </dxf>
    <dxf>
      <numFmt numFmtId="0" formatCode="Genera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409]* #,##0_ ;_-[$$-409]* \-#,##0\ ;_-[$$-409]* &quot;-&quot;??_ ;_-@_ "/>
    </dxf>
    <dxf>
      <font>
        <sz val="12"/>
        <color theme="0"/>
      </font>
      <border>
        <bottom style="thin">
          <color theme="8"/>
        </bottom>
        <vertical/>
        <horizontal/>
      </border>
    </dxf>
    <dxf>
      <font>
        <color theme="1"/>
      </font>
      <fill>
        <patternFill>
          <bgColor theme="1"/>
        </patternFill>
      </fill>
      <border>
        <left style="thin">
          <color theme="8"/>
        </left>
        <right style="thin">
          <color theme="8"/>
        </right>
        <top style="thin">
          <color theme="8"/>
        </top>
        <bottom style="thin">
          <color theme="8"/>
        </bottom>
        <vertical/>
        <horizontal/>
      </border>
    </dxf>
  </dxfs>
  <tableStyles count="1" defaultTableStyle="TableStyleMedium2" defaultPivotStyle="PivotStyleLight16">
    <tableStyle name="MySlicer" pivot="0" table="0" count="10" xr9:uid="{4767B019-C7C1-4E1A-82BC-536D0390A7CE}">
      <tableStyleElement type="wholeTable" dxfId="46"/>
      <tableStyleElement type="headerRow" dxfId="45"/>
    </tableStyle>
  </tableStyles>
  <colors>
    <mruColors>
      <color rgb="FF6D49F2"/>
      <color rgb="FFE49EDD"/>
      <color rgb="FF0CF25D"/>
      <color rgb="FF3C308C"/>
      <color rgb="FF6141A6"/>
      <color rgb="FF7F0967"/>
      <color rgb="FF6F1CA6"/>
      <color rgb="FF241C5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8" tint="0.59999389629810485"/>
              <bgColor rgb="FF6D49F2"/>
            </patternFill>
          </fill>
          <border>
            <left style="thin">
              <color rgb="FF999999"/>
            </left>
            <right style="thin">
              <color rgb="FF999999"/>
            </right>
            <top style="thin">
              <color rgb="FF999999"/>
            </top>
            <bottom style="thin">
              <color rgb="FF999999"/>
            </bottom>
            <vertical/>
            <horizontal/>
          </border>
        </dxf>
        <dxf>
          <font>
            <color theme="1" tint="0.34998626667073579"/>
          </font>
          <fill>
            <patternFill patternType="solid">
              <fgColor rgb="FFFFFFFF"/>
              <bgColor theme="1"/>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tint="0.49998474074526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2.xml"/><Relationship Id="rId21" Type="http://schemas.openxmlformats.org/officeDocument/2006/relationships/pivotCacheDefinition" Target="pivotCache/pivotCacheDefinition18.xml"/><Relationship Id="rId42" Type="http://schemas.openxmlformats.org/officeDocument/2006/relationships/customXml" Target="../customXml/item8.xml"/><Relationship Id="rId47" Type="http://schemas.openxmlformats.org/officeDocument/2006/relationships/customXml" Target="../customXml/item13.xml"/><Relationship Id="rId63" Type="http://schemas.openxmlformats.org/officeDocument/2006/relationships/customXml" Target="../customXml/item29.xml"/><Relationship Id="rId68" Type="http://schemas.openxmlformats.org/officeDocument/2006/relationships/customXml" Target="../customXml/item34.xml"/><Relationship Id="rId16" Type="http://schemas.openxmlformats.org/officeDocument/2006/relationships/pivotCacheDefinition" Target="pivotCache/pivotCacheDefinition13.xml"/><Relationship Id="rId11" Type="http://schemas.openxmlformats.org/officeDocument/2006/relationships/pivotCacheDefinition" Target="pivotCache/pivotCacheDefinition8.xml"/><Relationship Id="rId24" Type="http://schemas.openxmlformats.org/officeDocument/2006/relationships/pivotCacheDefinition" Target="pivotCache/pivotCacheDefinition21.xml"/><Relationship Id="rId32" Type="http://schemas.openxmlformats.org/officeDocument/2006/relationships/sheetMetadata" Target="metadata.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66" Type="http://schemas.openxmlformats.org/officeDocument/2006/relationships/customXml" Target="../customXml/item32.xml"/><Relationship Id="rId74" Type="http://schemas.openxmlformats.org/officeDocument/2006/relationships/customXml" Target="../customXml/item40.xml"/><Relationship Id="rId5" Type="http://schemas.openxmlformats.org/officeDocument/2006/relationships/pivotCacheDefinition" Target="pivotCache/pivotCacheDefinition2.xml"/><Relationship Id="rId61" Type="http://schemas.openxmlformats.org/officeDocument/2006/relationships/customXml" Target="../customXml/item27.xml"/><Relationship Id="rId19" Type="http://schemas.openxmlformats.org/officeDocument/2006/relationships/pivotCacheDefinition" Target="pivotCache/pivotCacheDefinition16.xml"/><Relationship Id="rId14" Type="http://schemas.openxmlformats.org/officeDocument/2006/relationships/pivotCacheDefinition" Target="pivotCache/pivotCacheDefinition11.xml"/><Relationship Id="rId22" Type="http://schemas.openxmlformats.org/officeDocument/2006/relationships/pivotCacheDefinition" Target="pivotCache/pivotCacheDefinition19.xml"/><Relationship Id="rId27" Type="http://schemas.microsoft.com/office/2007/relationships/slicerCache" Target="slicerCaches/slicerCache3.xml"/><Relationship Id="rId30" Type="http://schemas.openxmlformats.org/officeDocument/2006/relationships/styles" Target="style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64" Type="http://schemas.openxmlformats.org/officeDocument/2006/relationships/customXml" Target="../customXml/item30.xml"/><Relationship Id="rId69" Type="http://schemas.openxmlformats.org/officeDocument/2006/relationships/customXml" Target="../customXml/item35.xml"/><Relationship Id="rId77" Type="http://schemas.microsoft.com/office/2006/relationships/vbaProject" Target="vbaProject.bin"/><Relationship Id="rId8" Type="http://schemas.openxmlformats.org/officeDocument/2006/relationships/pivotCacheDefinition" Target="pivotCache/pivotCacheDefinition5.xml"/><Relationship Id="rId51" Type="http://schemas.openxmlformats.org/officeDocument/2006/relationships/customXml" Target="../customXml/item17.xml"/><Relationship Id="rId72" Type="http://schemas.openxmlformats.org/officeDocument/2006/relationships/customXml" Target="../customXml/item38.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pivotCacheDefinition" Target="pivotCache/pivotCacheDefinition14.xml"/><Relationship Id="rId25" Type="http://schemas.microsoft.com/office/2007/relationships/slicerCache" Target="slicerCaches/slicerCache1.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67" Type="http://schemas.openxmlformats.org/officeDocument/2006/relationships/customXml" Target="../customXml/item33.xml"/><Relationship Id="rId20" Type="http://schemas.openxmlformats.org/officeDocument/2006/relationships/pivotCacheDefinition" Target="pivotCache/pivotCacheDefinition17.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70" Type="http://schemas.openxmlformats.org/officeDocument/2006/relationships/customXml" Target="../customXml/item36.xml"/><Relationship Id="rId75" Type="http://schemas.openxmlformats.org/officeDocument/2006/relationships/customXml" Target="../customXml/item41.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5" Type="http://schemas.openxmlformats.org/officeDocument/2006/relationships/pivotCacheDefinition" Target="pivotCache/pivotCacheDefinition12.xml"/><Relationship Id="rId23" Type="http://schemas.openxmlformats.org/officeDocument/2006/relationships/pivotCacheDefinition" Target="pivotCache/pivotCacheDefinition20.xml"/><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pivotCacheDefinition" Target="pivotCache/pivotCacheDefinition7.xml"/><Relationship Id="rId31" Type="http://schemas.openxmlformats.org/officeDocument/2006/relationships/sharedStrings" Target="sharedString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openxmlformats.org/officeDocument/2006/relationships/customXml" Target="../customXml/item31.xml"/><Relationship Id="rId73" Type="http://schemas.openxmlformats.org/officeDocument/2006/relationships/customXml" Target="../customXml/item39.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3" Type="http://schemas.openxmlformats.org/officeDocument/2006/relationships/pivotCacheDefinition" Target="pivotCache/pivotCacheDefinition10.xml"/><Relationship Id="rId18" Type="http://schemas.openxmlformats.org/officeDocument/2006/relationships/pivotCacheDefinition" Target="pivotCache/pivotCacheDefinition15.xml"/><Relationship Id="rId39" Type="http://schemas.openxmlformats.org/officeDocument/2006/relationships/customXml" Target="../customXml/item5.xml"/><Relationship Id="rId34" Type="http://schemas.openxmlformats.org/officeDocument/2006/relationships/calcChain" Target="calcChain.xml"/><Relationship Id="rId50" Type="http://schemas.openxmlformats.org/officeDocument/2006/relationships/customXml" Target="../customXml/item16.xml"/><Relationship Id="rId55" Type="http://schemas.openxmlformats.org/officeDocument/2006/relationships/customXml" Target="../customXml/item21.xml"/><Relationship Id="rId76" Type="http://schemas.openxmlformats.org/officeDocument/2006/relationships/customXml" Target="../customXml/item42.xml"/><Relationship Id="rId7" Type="http://schemas.openxmlformats.org/officeDocument/2006/relationships/pivotCacheDefinition" Target="pivotCache/pivotCacheDefinition4.xml"/><Relationship Id="rId71" Type="http://schemas.openxmlformats.org/officeDocument/2006/relationships/customXml" Target="../customXml/item37.xml"/><Relationship Id="rId2" Type="http://schemas.openxmlformats.org/officeDocument/2006/relationships/worksheet" Target="worksheets/sheet2.xml"/><Relationship Id="rId2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[Transportation Project.xlsm]Analysis!PivotTable5</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D49F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Analysis!$H$6</c:f>
              <c:strCache>
                <c:ptCount val="1"/>
                <c:pt idx="0">
                  <c:v>Total</c:v>
                </c:pt>
              </c:strCache>
            </c:strRef>
          </c:tx>
          <c:spPr>
            <a:solidFill>
              <a:srgbClr val="6D49F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Analysis!$G$7:$G$9</c:f>
              <c:strCache>
                <c:ptCount val="3"/>
                <c:pt idx="0">
                  <c:v>5 PM - 12 AM</c:v>
                </c:pt>
                <c:pt idx="1">
                  <c:v>12 AM - 12 PM</c:v>
                </c:pt>
                <c:pt idx="2">
                  <c:v>12 PM - 5 PM</c:v>
                </c:pt>
              </c:strCache>
            </c:strRef>
          </c:cat>
          <c:val>
            <c:numRef>
              <c:f>Analysis!$H$7:$H$9</c:f>
              <c:numCache>
                <c:formatCode>General</c:formatCode>
                <c:ptCount val="3"/>
                <c:pt idx="0">
                  <c:v>2421</c:v>
                </c:pt>
                <c:pt idx="1">
                  <c:v>2331</c:v>
                </c:pt>
                <c:pt idx="2">
                  <c:v>1835</c:v>
                </c:pt>
              </c:numCache>
            </c:numRef>
          </c:val>
          <c:extLst>
            <c:ext xmlns:c16="http://schemas.microsoft.com/office/drawing/2014/chart" uri="{C3380CC4-5D6E-409C-BE32-E72D297353CC}">
              <c16:uniqueId val="{00000000-6530-45A8-9754-A64151235982}"/>
            </c:ext>
          </c:extLst>
        </c:ser>
        <c:dLbls>
          <c:showLegendKey val="0"/>
          <c:showVal val="0"/>
          <c:showCatName val="0"/>
          <c:showSerName val="0"/>
          <c:showPercent val="0"/>
          <c:showBubbleSize val="0"/>
        </c:dLbls>
        <c:gapWidth val="133"/>
        <c:axId val="846466207"/>
        <c:axId val="846467167"/>
      </c:barChart>
      <c:catAx>
        <c:axId val="846466207"/>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846467167"/>
        <c:crosses val="autoZero"/>
        <c:auto val="1"/>
        <c:lblAlgn val="ctr"/>
        <c:lblOffset val="100"/>
        <c:noMultiLvlLbl val="0"/>
      </c:catAx>
      <c:valAx>
        <c:axId val="846467167"/>
        <c:scaling>
          <c:orientation val="minMax"/>
        </c:scaling>
        <c:delete val="1"/>
        <c:axPos val="t"/>
        <c:numFmt formatCode="General" sourceLinked="1"/>
        <c:majorTickMark val="none"/>
        <c:minorTickMark val="none"/>
        <c:tickLblPos val="nextTo"/>
        <c:crossAx val="8464662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[Transportation Project.xlsm]Analysis!PivotTable8</c:name>
    <c:fmtId val="11"/>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cap="rnd">
            <a:solidFill>
              <a:srgbClr val="6D49F2"/>
            </a:solidFill>
            <a:round/>
          </a:ln>
          <a:effectLst/>
        </c:spPr>
        <c:marker>
          <c:symbol val="none"/>
        </c:marker>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cap="rnd">
            <a:solidFill>
              <a:srgbClr val="6D49F2"/>
            </a:solidFill>
            <a:round/>
          </a:ln>
          <a:effectLst/>
        </c:spPr>
        <c:marker>
          <c:symbol val="none"/>
        </c:marker>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ln w="19050" cap="rnd">
            <a:solidFill>
              <a:srgbClr val="6D49F2"/>
            </a:solidFill>
            <a:round/>
          </a:ln>
          <a:effectLst/>
        </c:spPr>
        <c:marker>
          <c:symbol val="none"/>
        </c:marker>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241561182718608E-2"/>
          <c:y val="7.9065610873813669E-2"/>
          <c:w val="0.91497581953693774"/>
          <c:h val="0.84186877825237272"/>
        </c:manualLayout>
      </c:layout>
      <c:lineChart>
        <c:grouping val="standard"/>
        <c:varyColors val="0"/>
        <c:ser>
          <c:idx val="0"/>
          <c:order val="0"/>
          <c:tx>
            <c:strRef>
              <c:f>Analysis!$M$6</c:f>
              <c:strCache>
                <c:ptCount val="1"/>
                <c:pt idx="0">
                  <c:v>Total Riders (Passangers)</c:v>
                </c:pt>
              </c:strCache>
            </c:strRef>
          </c:tx>
          <c:spPr>
            <a:ln w="28575" cap="rnd">
              <a:solidFill>
                <a:schemeClr val="accent1"/>
              </a:solidFill>
              <a:round/>
            </a:ln>
            <a:effectLst/>
          </c:spPr>
          <c:marker>
            <c:symbol val="none"/>
          </c:marker>
          <c:dPt>
            <c:idx val="1"/>
            <c:marker>
              <c:symbol val="none"/>
            </c:marker>
            <c:bubble3D val="0"/>
            <c:spPr>
              <a:ln w="19050" cap="rnd">
                <a:solidFill>
                  <a:srgbClr val="6D49F2"/>
                </a:solidFill>
                <a:round/>
              </a:ln>
              <a:effectLst/>
            </c:spPr>
            <c:extLst>
              <c:ext xmlns:c16="http://schemas.microsoft.com/office/drawing/2014/chart" uri="{C3380CC4-5D6E-409C-BE32-E72D297353CC}">
                <c16:uniqueId val="{00000001-631F-4C11-819D-B18430CAB97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Analysis!$L$7:$L$8</c:f>
              <c:strCache>
                <c:ptCount val="2"/>
                <c:pt idx="0">
                  <c:v>2023</c:v>
                </c:pt>
                <c:pt idx="1">
                  <c:v>2024</c:v>
                </c:pt>
              </c:strCache>
            </c:strRef>
          </c:cat>
          <c:val>
            <c:numRef>
              <c:f>Analysis!$M$7:$M$8</c:f>
              <c:numCache>
                <c:formatCode>General</c:formatCode>
                <c:ptCount val="2"/>
                <c:pt idx="0">
                  <c:v>5654</c:v>
                </c:pt>
                <c:pt idx="1">
                  <c:v>933</c:v>
                </c:pt>
              </c:numCache>
            </c:numRef>
          </c:val>
          <c:smooth val="0"/>
          <c:extLst>
            <c:ext xmlns:c16="http://schemas.microsoft.com/office/drawing/2014/chart" uri="{C3380CC4-5D6E-409C-BE32-E72D297353CC}">
              <c16:uniqueId val="{00000002-631F-4C11-819D-B18430CAB975}"/>
            </c:ext>
          </c:extLst>
        </c:ser>
        <c:ser>
          <c:idx val="1"/>
          <c:order val="1"/>
          <c:tx>
            <c:strRef>
              <c:f>Analysis!$N$6</c:f>
              <c:strCache>
                <c:ptCount val="1"/>
                <c:pt idx="0">
                  <c:v>Sum of NumberOfRiders</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Analysis!$L$7:$L$8</c:f>
              <c:strCache>
                <c:ptCount val="2"/>
                <c:pt idx="0">
                  <c:v>2023</c:v>
                </c:pt>
                <c:pt idx="1">
                  <c:v>2024</c:v>
                </c:pt>
              </c:strCache>
            </c:strRef>
          </c:cat>
          <c:val>
            <c:numRef>
              <c:f>Analysis!$N$7:$N$8</c:f>
              <c:numCache>
                <c:formatCode>0.00%</c:formatCode>
                <c:ptCount val="2"/>
                <c:pt idx="1">
                  <c:v>-0.83498408206579411</c:v>
                </c:pt>
              </c:numCache>
            </c:numRef>
          </c:val>
          <c:smooth val="0"/>
          <c:extLst>
            <c:ext xmlns:c16="http://schemas.microsoft.com/office/drawing/2014/chart" uri="{C3380CC4-5D6E-409C-BE32-E72D297353CC}">
              <c16:uniqueId val="{00000003-631F-4C11-819D-B18430CAB975}"/>
            </c:ext>
          </c:extLst>
        </c:ser>
        <c:dLbls>
          <c:dLblPos val="t"/>
          <c:showLegendKey val="0"/>
          <c:showVal val="1"/>
          <c:showCatName val="0"/>
          <c:showSerName val="0"/>
          <c:showPercent val="0"/>
          <c:showBubbleSize val="0"/>
        </c:dLbls>
        <c:smooth val="0"/>
        <c:axId val="939884639"/>
        <c:axId val="939879839"/>
      </c:lineChart>
      <c:catAx>
        <c:axId val="939884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US"/>
          </a:p>
        </c:txPr>
        <c:crossAx val="939879839"/>
        <c:crosses val="autoZero"/>
        <c:auto val="1"/>
        <c:lblAlgn val="ctr"/>
        <c:lblOffset val="100"/>
        <c:noMultiLvlLbl val="0"/>
      </c:catAx>
      <c:valAx>
        <c:axId val="939879839"/>
        <c:scaling>
          <c:orientation val="minMax"/>
        </c:scaling>
        <c:delete val="1"/>
        <c:axPos val="l"/>
        <c:numFmt formatCode="General" sourceLinked="1"/>
        <c:majorTickMark val="none"/>
        <c:minorTickMark val="none"/>
        <c:tickLblPos val="nextTo"/>
        <c:crossAx val="9398846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[Transportation Project.xlsm]Analysis!PivotTable9</c:name>
    <c:fmtId val="14"/>
  </c:pivotSource>
  <c:chart>
    <c:autoTitleDeleted val="1"/>
    <c:pivotFmts>
      <c:pivotFmt>
        <c:idx val="0"/>
        <c:spPr>
          <a:solidFill>
            <a:schemeClr val="accent1"/>
          </a:solidFill>
          <a:ln w="28575" cap="rnd">
            <a:solidFill>
              <a:srgbClr val="6D49F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6D49F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6D49F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9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Analysis!$M$11</c:f>
              <c:strCache>
                <c:ptCount val="1"/>
                <c:pt idx="0">
                  <c:v>Total</c:v>
                </c:pt>
              </c:strCache>
            </c:strRef>
          </c:tx>
          <c:spPr>
            <a:ln w="28575" cap="rnd">
              <a:solidFill>
                <a:srgbClr val="6D49F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2">
                        <a:lumMod val="9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Analysis!$L$12:$L$13</c:f>
              <c:strCache>
                <c:ptCount val="2"/>
                <c:pt idx="0">
                  <c:v>Jan</c:v>
                </c:pt>
                <c:pt idx="1">
                  <c:v>Dec</c:v>
                </c:pt>
              </c:strCache>
            </c:strRef>
          </c:cat>
          <c:val>
            <c:numRef>
              <c:f>Analysis!$M$12:$M$13</c:f>
              <c:numCache>
                <c:formatCode>General</c:formatCode>
                <c:ptCount val="2"/>
                <c:pt idx="0">
                  <c:v>933</c:v>
                </c:pt>
                <c:pt idx="1">
                  <c:v>5654</c:v>
                </c:pt>
              </c:numCache>
            </c:numRef>
          </c:val>
          <c:smooth val="0"/>
          <c:extLst>
            <c:ext xmlns:c16="http://schemas.microsoft.com/office/drawing/2014/chart" uri="{C3380CC4-5D6E-409C-BE32-E72D297353CC}">
              <c16:uniqueId val="{00000000-00C9-41E1-8778-171442005855}"/>
            </c:ext>
          </c:extLst>
        </c:ser>
        <c:dLbls>
          <c:dLblPos val="t"/>
          <c:showLegendKey val="0"/>
          <c:showVal val="1"/>
          <c:showCatName val="0"/>
          <c:showSerName val="0"/>
          <c:showPercent val="0"/>
          <c:showBubbleSize val="0"/>
        </c:dLbls>
        <c:smooth val="0"/>
        <c:axId val="2067010495"/>
        <c:axId val="2067010975"/>
      </c:lineChart>
      <c:catAx>
        <c:axId val="2067010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2">
                    <a:lumMod val="90000"/>
                  </a:schemeClr>
                </a:solidFill>
                <a:latin typeface="+mn-lt"/>
                <a:ea typeface="+mn-ea"/>
                <a:cs typeface="+mn-cs"/>
              </a:defRPr>
            </a:pPr>
            <a:endParaRPr lang="en-US"/>
          </a:p>
        </c:txPr>
        <c:crossAx val="2067010975"/>
        <c:crosses val="autoZero"/>
        <c:auto val="1"/>
        <c:lblAlgn val="ctr"/>
        <c:lblOffset val="100"/>
        <c:noMultiLvlLbl val="0"/>
      </c:catAx>
      <c:valAx>
        <c:axId val="2067010975"/>
        <c:scaling>
          <c:orientation val="minMax"/>
        </c:scaling>
        <c:delete val="1"/>
        <c:axPos val="l"/>
        <c:numFmt formatCode="General" sourceLinked="1"/>
        <c:majorTickMark val="none"/>
        <c:minorTickMark val="none"/>
        <c:tickLblPos val="nextTo"/>
        <c:crossAx val="20670104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Analysis!$P$16</c:f>
              <c:strCache>
                <c:ptCount val="1"/>
                <c:pt idx="0">
                  <c:v>Total Riders (Passangers)</c:v>
                </c:pt>
              </c:strCache>
            </c:strRef>
          </c:tx>
          <c:spPr>
            <a:solidFill>
              <a:schemeClr val="tx1">
                <a:lumMod val="65000"/>
                <a:lumOff val="3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Analysis!$O$17:$O$23</c:f>
              <c:strCache>
                <c:ptCount val="7"/>
                <c:pt idx="0">
                  <c:v>Sat</c:v>
                </c:pt>
                <c:pt idx="1">
                  <c:v>Sun</c:v>
                </c:pt>
                <c:pt idx="2">
                  <c:v>Mon</c:v>
                </c:pt>
                <c:pt idx="3">
                  <c:v>Tue</c:v>
                </c:pt>
                <c:pt idx="4">
                  <c:v>Wed</c:v>
                </c:pt>
                <c:pt idx="5">
                  <c:v>Thu</c:v>
                </c:pt>
                <c:pt idx="6">
                  <c:v>Fri</c:v>
                </c:pt>
              </c:strCache>
            </c:strRef>
          </c:cat>
          <c:val>
            <c:numRef>
              <c:f>Analysis!$P$17:$P$23</c:f>
              <c:numCache>
                <c:formatCode>General</c:formatCode>
                <c:ptCount val="7"/>
                <c:pt idx="0">
                  <c:v>796</c:v>
                </c:pt>
                <c:pt idx="1">
                  <c:v>1185</c:v>
                </c:pt>
                <c:pt idx="2">
                  <c:v>1085</c:v>
                </c:pt>
                <c:pt idx="3">
                  <c:v>983</c:v>
                </c:pt>
                <c:pt idx="4">
                  <c:v>887</c:v>
                </c:pt>
                <c:pt idx="5">
                  <c:v>889</c:v>
                </c:pt>
                <c:pt idx="6">
                  <c:v>762</c:v>
                </c:pt>
              </c:numCache>
            </c:numRef>
          </c:val>
          <c:extLst>
            <c:ext xmlns:c16="http://schemas.microsoft.com/office/drawing/2014/chart" uri="{C3380CC4-5D6E-409C-BE32-E72D297353CC}">
              <c16:uniqueId val="{00000000-E8FD-4D83-B80B-CF86915DE251}"/>
            </c:ext>
          </c:extLst>
        </c:ser>
        <c:ser>
          <c:idx val="2"/>
          <c:order val="2"/>
          <c:tx>
            <c:strRef>
              <c:f>Analysis!$R$16</c:f>
              <c:strCache>
                <c:ptCount val="1"/>
                <c:pt idx="0">
                  <c:v>Above Average</c:v>
                </c:pt>
              </c:strCache>
            </c:strRef>
          </c:tx>
          <c:spPr>
            <a:solidFill>
              <a:srgbClr val="6D49F2"/>
            </a:solidFill>
            <a:ln>
              <a:noFill/>
            </a:ln>
            <a:effectLst/>
          </c:spPr>
          <c:invertIfNegative val="0"/>
          <c:val>
            <c:numRef>
              <c:f>Analysis!$R$17:$R$23</c:f>
              <c:numCache>
                <c:formatCode>General</c:formatCode>
                <c:ptCount val="7"/>
                <c:pt idx="0">
                  <c:v>0</c:v>
                </c:pt>
                <c:pt idx="1">
                  <c:v>1185</c:v>
                </c:pt>
                <c:pt idx="2">
                  <c:v>1085</c:v>
                </c:pt>
                <c:pt idx="3">
                  <c:v>983</c:v>
                </c:pt>
                <c:pt idx="4">
                  <c:v>0</c:v>
                </c:pt>
                <c:pt idx="5">
                  <c:v>0</c:v>
                </c:pt>
                <c:pt idx="6">
                  <c:v>0</c:v>
                </c:pt>
              </c:numCache>
            </c:numRef>
          </c:val>
          <c:extLst>
            <c:ext xmlns:c16="http://schemas.microsoft.com/office/drawing/2014/chart" uri="{C3380CC4-5D6E-409C-BE32-E72D297353CC}">
              <c16:uniqueId val="{00000001-E8FD-4D83-B80B-CF86915DE251}"/>
            </c:ext>
          </c:extLst>
        </c:ser>
        <c:dLbls>
          <c:showLegendKey val="0"/>
          <c:showVal val="0"/>
          <c:showCatName val="0"/>
          <c:showSerName val="0"/>
          <c:showPercent val="0"/>
          <c:showBubbleSize val="0"/>
        </c:dLbls>
        <c:gapWidth val="64"/>
        <c:overlap val="100"/>
        <c:axId val="1462648351"/>
        <c:axId val="1462654111"/>
      </c:barChart>
      <c:lineChart>
        <c:grouping val="standard"/>
        <c:varyColors val="0"/>
        <c:ser>
          <c:idx val="1"/>
          <c:order val="1"/>
          <c:tx>
            <c:strRef>
              <c:f>Analysis!$Q$16</c:f>
              <c:strCache>
                <c:ptCount val="1"/>
                <c:pt idx="0">
                  <c:v>Average</c:v>
                </c:pt>
              </c:strCache>
            </c:strRef>
          </c:tx>
          <c:spPr>
            <a:ln w="19050" cap="rnd">
              <a:solidFill>
                <a:schemeClr val="tx1">
                  <a:lumMod val="50000"/>
                  <a:lumOff val="50000"/>
                </a:schemeClr>
              </a:solidFill>
              <a:prstDash val="dash"/>
              <a:round/>
            </a:ln>
            <a:effectLst/>
          </c:spPr>
          <c:marker>
            <c:symbol val="none"/>
          </c:marker>
          <c:val>
            <c:numRef>
              <c:f>Analysis!$Q$17:$Q$23</c:f>
              <c:numCache>
                <c:formatCode>General</c:formatCode>
                <c:ptCount val="7"/>
                <c:pt idx="0">
                  <c:v>941</c:v>
                </c:pt>
                <c:pt idx="1">
                  <c:v>941</c:v>
                </c:pt>
                <c:pt idx="2">
                  <c:v>941</c:v>
                </c:pt>
                <c:pt idx="3">
                  <c:v>941</c:v>
                </c:pt>
                <c:pt idx="4">
                  <c:v>941</c:v>
                </c:pt>
                <c:pt idx="5">
                  <c:v>941</c:v>
                </c:pt>
                <c:pt idx="6">
                  <c:v>941</c:v>
                </c:pt>
              </c:numCache>
            </c:numRef>
          </c:val>
          <c:smooth val="0"/>
          <c:extLst>
            <c:ext xmlns:c16="http://schemas.microsoft.com/office/drawing/2014/chart" uri="{C3380CC4-5D6E-409C-BE32-E72D297353CC}">
              <c16:uniqueId val="{00000002-E8FD-4D83-B80B-CF86915DE251}"/>
            </c:ext>
          </c:extLst>
        </c:ser>
        <c:dLbls>
          <c:showLegendKey val="0"/>
          <c:showVal val="0"/>
          <c:showCatName val="0"/>
          <c:showSerName val="0"/>
          <c:showPercent val="0"/>
          <c:showBubbleSize val="0"/>
        </c:dLbls>
        <c:marker val="1"/>
        <c:smooth val="0"/>
        <c:axId val="1462648351"/>
        <c:axId val="1462654111"/>
      </c:lineChart>
      <c:catAx>
        <c:axId val="1462648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bg1">
                    <a:lumMod val="95000"/>
                  </a:schemeClr>
                </a:solidFill>
                <a:latin typeface="+mn-lt"/>
                <a:ea typeface="+mn-ea"/>
                <a:cs typeface="+mn-cs"/>
              </a:defRPr>
            </a:pPr>
            <a:endParaRPr lang="en-US"/>
          </a:p>
        </c:txPr>
        <c:crossAx val="1462654111"/>
        <c:crosses val="autoZero"/>
        <c:auto val="1"/>
        <c:lblAlgn val="ctr"/>
        <c:lblOffset val="100"/>
        <c:noMultiLvlLbl val="0"/>
      </c:catAx>
      <c:valAx>
        <c:axId val="1462654111"/>
        <c:scaling>
          <c:orientation val="minMax"/>
        </c:scaling>
        <c:delete val="1"/>
        <c:axPos val="l"/>
        <c:numFmt formatCode="General" sourceLinked="1"/>
        <c:majorTickMark val="none"/>
        <c:minorTickMark val="none"/>
        <c:tickLblPos val="nextTo"/>
        <c:crossAx val="14626483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69449017379331"/>
          <c:y val="0.10968297733146498"/>
          <c:w val="0.746109680617973"/>
          <c:h val="0.78063404533707004"/>
        </c:manualLayout>
      </c:layout>
      <c:doughnutChart>
        <c:varyColors val="1"/>
        <c:ser>
          <c:idx val="0"/>
          <c:order val="0"/>
          <c:tx>
            <c:strRef>
              <c:f>Analysis!$V$13</c:f>
              <c:strCache>
                <c:ptCount val="1"/>
                <c:pt idx="0">
                  <c:v>Over Utilized</c:v>
                </c:pt>
              </c:strCache>
            </c:strRef>
          </c:tx>
          <c:spPr>
            <a:ln>
              <a:noFill/>
            </a:ln>
          </c:spPr>
          <c:dPt>
            <c:idx val="0"/>
            <c:bubble3D val="0"/>
            <c:spPr>
              <a:solidFill>
                <a:srgbClr val="6141A6"/>
              </a:solidFill>
              <a:ln w="19050">
                <a:noFill/>
              </a:ln>
              <a:effectLst/>
            </c:spPr>
            <c:extLst>
              <c:ext xmlns:c16="http://schemas.microsoft.com/office/drawing/2014/chart" uri="{C3380CC4-5D6E-409C-BE32-E72D297353CC}">
                <c16:uniqueId val="{00000001-B50D-49EF-9654-9F3FB2E0EEB8}"/>
              </c:ext>
            </c:extLst>
          </c:dPt>
          <c:dPt>
            <c:idx val="1"/>
            <c:bubble3D val="0"/>
            <c:spPr>
              <a:solidFill>
                <a:schemeClr val="tx1">
                  <a:lumMod val="65000"/>
                  <a:lumOff val="35000"/>
                </a:schemeClr>
              </a:solidFill>
              <a:ln w="19050">
                <a:noFill/>
              </a:ln>
              <a:effectLst/>
            </c:spPr>
            <c:extLst>
              <c:ext xmlns:c16="http://schemas.microsoft.com/office/drawing/2014/chart" uri="{C3380CC4-5D6E-409C-BE32-E72D297353CC}">
                <c16:uniqueId val="{00000003-B50D-49EF-9654-9F3FB2E0EEB8}"/>
              </c:ext>
            </c:extLst>
          </c:dPt>
          <c:val>
            <c:numRef>
              <c:f>Analysis!$W$13:$X$13</c:f>
              <c:numCache>
                <c:formatCode>0%</c:formatCode>
                <c:ptCount val="2"/>
                <c:pt idx="0">
                  <c:v>0.24096385542168675</c:v>
                </c:pt>
                <c:pt idx="1">
                  <c:v>0.75903614457831325</c:v>
                </c:pt>
              </c:numCache>
            </c:numRef>
          </c:val>
          <c:extLst>
            <c:ext xmlns:c16="http://schemas.microsoft.com/office/drawing/2014/chart" uri="{C3380CC4-5D6E-409C-BE32-E72D297353CC}">
              <c16:uniqueId val="{00000004-B50D-49EF-9654-9F3FB2E0EEB8}"/>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0541265534813"/>
          <c:y val="8.2262232998598736E-2"/>
          <c:w val="0.79588430812110866"/>
          <c:h val="0.82862034791958594"/>
        </c:manualLayout>
      </c:layout>
      <c:doughnutChart>
        <c:varyColors val="1"/>
        <c:ser>
          <c:idx val="0"/>
          <c:order val="0"/>
          <c:tx>
            <c:strRef>
              <c:f>Analysis!$V$14</c:f>
              <c:strCache>
                <c:ptCount val="1"/>
                <c:pt idx="0">
                  <c:v>Under Utilized</c:v>
                </c:pt>
              </c:strCache>
            </c:strRef>
          </c:tx>
          <c:spPr>
            <a:solidFill>
              <a:srgbClr val="3C308C"/>
            </a:solidFill>
            <a:ln>
              <a:noFill/>
            </a:ln>
          </c:spPr>
          <c:dPt>
            <c:idx val="0"/>
            <c:bubble3D val="0"/>
            <c:spPr>
              <a:solidFill>
                <a:srgbClr val="3C308C"/>
              </a:solidFill>
              <a:ln w="19050">
                <a:noFill/>
              </a:ln>
              <a:effectLst/>
            </c:spPr>
            <c:extLst>
              <c:ext xmlns:c16="http://schemas.microsoft.com/office/drawing/2014/chart" uri="{C3380CC4-5D6E-409C-BE32-E72D297353CC}">
                <c16:uniqueId val="{00000001-B50D-49EF-9654-9F3FB2E0EEB8}"/>
              </c:ext>
            </c:extLst>
          </c:dPt>
          <c:dPt>
            <c:idx val="1"/>
            <c:bubble3D val="0"/>
            <c:spPr>
              <a:solidFill>
                <a:schemeClr val="tx1">
                  <a:lumMod val="65000"/>
                  <a:lumOff val="35000"/>
                </a:schemeClr>
              </a:solidFill>
              <a:ln w="19050">
                <a:noFill/>
              </a:ln>
              <a:effectLst/>
            </c:spPr>
            <c:extLst>
              <c:ext xmlns:c16="http://schemas.microsoft.com/office/drawing/2014/chart" uri="{C3380CC4-5D6E-409C-BE32-E72D297353CC}">
                <c16:uniqueId val="{00000003-B50D-49EF-9654-9F3FB2E0EEB8}"/>
              </c:ext>
            </c:extLst>
          </c:dPt>
          <c:val>
            <c:numRef>
              <c:f>Analysis!$W$14:$X$14</c:f>
              <c:numCache>
                <c:formatCode>0%</c:formatCode>
                <c:ptCount val="2"/>
                <c:pt idx="0">
                  <c:v>0.3493975903614458</c:v>
                </c:pt>
                <c:pt idx="1">
                  <c:v>0.6506024096385542</c:v>
                </c:pt>
              </c:numCache>
            </c:numRef>
          </c:val>
          <c:extLst>
            <c:ext xmlns:c16="http://schemas.microsoft.com/office/drawing/2014/chart" uri="{C3380CC4-5D6E-409C-BE32-E72D297353CC}">
              <c16:uniqueId val="{00000004-B50D-49EF-9654-9F3FB2E0EEB8}"/>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0541265534813"/>
          <c:y val="8.2262232998598736E-2"/>
          <c:w val="0.79588430812110866"/>
          <c:h val="0.82862034791958594"/>
        </c:manualLayout>
      </c:layout>
      <c:doughnutChart>
        <c:varyColors val="1"/>
        <c:ser>
          <c:idx val="0"/>
          <c:order val="0"/>
          <c:tx>
            <c:strRef>
              <c:f>Analysis!$V$15</c:f>
              <c:strCache>
                <c:ptCount val="1"/>
                <c:pt idx="0">
                  <c:v>Well Utilized</c:v>
                </c:pt>
              </c:strCache>
            </c:strRef>
          </c:tx>
          <c:spPr>
            <a:solidFill>
              <a:srgbClr val="6D49F2"/>
            </a:solidFill>
            <a:ln>
              <a:noFill/>
            </a:ln>
          </c:spPr>
          <c:dPt>
            <c:idx val="0"/>
            <c:bubble3D val="0"/>
            <c:spPr>
              <a:solidFill>
                <a:srgbClr val="6D49F2"/>
              </a:solidFill>
              <a:ln w="19050">
                <a:noFill/>
              </a:ln>
              <a:effectLst/>
            </c:spPr>
            <c:extLst>
              <c:ext xmlns:c16="http://schemas.microsoft.com/office/drawing/2014/chart" uri="{C3380CC4-5D6E-409C-BE32-E72D297353CC}">
                <c16:uniqueId val="{00000001-B50D-49EF-9654-9F3FB2E0EEB8}"/>
              </c:ext>
            </c:extLst>
          </c:dPt>
          <c:dPt>
            <c:idx val="1"/>
            <c:bubble3D val="0"/>
            <c:spPr>
              <a:solidFill>
                <a:schemeClr val="tx1">
                  <a:lumMod val="65000"/>
                  <a:lumOff val="35000"/>
                </a:schemeClr>
              </a:solidFill>
              <a:ln w="19050">
                <a:noFill/>
              </a:ln>
              <a:effectLst/>
            </c:spPr>
            <c:extLst>
              <c:ext xmlns:c16="http://schemas.microsoft.com/office/drawing/2014/chart" uri="{C3380CC4-5D6E-409C-BE32-E72D297353CC}">
                <c16:uniqueId val="{00000003-B50D-49EF-9654-9F3FB2E0EEB8}"/>
              </c:ext>
            </c:extLst>
          </c:dPt>
          <c:val>
            <c:numRef>
              <c:f>Analysis!$W$15:$X$15</c:f>
              <c:numCache>
                <c:formatCode>0%</c:formatCode>
                <c:ptCount val="2"/>
                <c:pt idx="0">
                  <c:v>0.40963855421686746</c:v>
                </c:pt>
                <c:pt idx="1">
                  <c:v>0.59036144578313254</c:v>
                </c:pt>
              </c:numCache>
            </c:numRef>
          </c:val>
          <c:extLst>
            <c:ext xmlns:c16="http://schemas.microsoft.com/office/drawing/2014/chart" uri="{C3380CC4-5D6E-409C-BE32-E72D297353CC}">
              <c16:uniqueId val="{00000004-B50D-49EF-9654-9F3FB2E0EEB8}"/>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51290463692039"/>
          <c:y val="1.3888888888888888E-2"/>
          <c:w val="0.74393153980752402"/>
          <c:h val="0.97685185185185186"/>
        </c:manualLayout>
      </c:layout>
      <c:barChart>
        <c:barDir val="bar"/>
        <c:grouping val="clustered"/>
        <c:varyColors val="0"/>
        <c:ser>
          <c:idx val="0"/>
          <c:order val="0"/>
          <c:tx>
            <c:strRef>
              <c:f>Analysis!$AM$19</c:f>
              <c:strCache>
                <c:ptCount val="1"/>
                <c:pt idx="0">
                  <c:v>Sum of NumberOfRiders</c:v>
                </c:pt>
              </c:strCache>
            </c:strRef>
          </c:tx>
          <c:spPr>
            <a:solidFill>
              <a:schemeClr val="tx1">
                <a:lumMod val="65000"/>
                <a:lumOff val="3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Analysis!$AL$20:$AL$29</c:f>
              <c:strCache>
                <c:ptCount val="10"/>
                <c:pt idx="0">
                  <c:v>East-West Express</c:v>
                </c:pt>
                <c:pt idx="1">
                  <c:v>Central Line</c:v>
                </c:pt>
                <c:pt idx="2">
                  <c:v>Airport Express</c:v>
                </c:pt>
                <c:pt idx="3">
                  <c:v>University Line</c:v>
                </c:pt>
                <c:pt idx="4">
                  <c:v>Suburban Line</c:v>
                </c:pt>
                <c:pt idx="5">
                  <c:v>Market Line</c:v>
                </c:pt>
                <c:pt idx="6">
                  <c:v>City Shuttle</c:v>
                </c:pt>
                <c:pt idx="7">
                  <c:v>Beachfront Route</c:v>
                </c:pt>
                <c:pt idx="8">
                  <c:v>North Circular</c:v>
                </c:pt>
                <c:pt idx="9">
                  <c:v>South Line</c:v>
                </c:pt>
              </c:strCache>
            </c:strRef>
          </c:cat>
          <c:val>
            <c:numRef>
              <c:f>Analysis!$AM$20:$AM$29</c:f>
              <c:numCache>
                <c:formatCode>General</c:formatCode>
                <c:ptCount val="10"/>
                <c:pt idx="0">
                  <c:v>1322</c:v>
                </c:pt>
                <c:pt idx="1">
                  <c:v>1271</c:v>
                </c:pt>
                <c:pt idx="2">
                  <c:v>754</c:v>
                </c:pt>
                <c:pt idx="3">
                  <c:v>741</c:v>
                </c:pt>
                <c:pt idx="4">
                  <c:v>659</c:v>
                </c:pt>
                <c:pt idx="5">
                  <c:v>609</c:v>
                </c:pt>
                <c:pt idx="6">
                  <c:v>509</c:v>
                </c:pt>
                <c:pt idx="7">
                  <c:v>331</c:v>
                </c:pt>
                <c:pt idx="8">
                  <c:v>206</c:v>
                </c:pt>
                <c:pt idx="9">
                  <c:v>185</c:v>
                </c:pt>
              </c:numCache>
            </c:numRef>
          </c:val>
          <c:extLst>
            <c:ext xmlns:c16="http://schemas.microsoft.com/office/drawing/2014/chart" uri="{C3380CC4-5D6E-409C-BE32-E72D297353CC}">
              <c16:uniqueId val="{00000000-D6FD-418E-9D60-A55B8387C489}"/>
            </c:ext>
          </c:extLst>
        </c:ser>
        <c:ser>
          <c:idx val="1"/>
          <c:order val="1"/>
          <c:tx>
            <c:strRef>
              <c:f>Analysis!$AN$19</c:f>
              <c:strCache>
                <c:ptCount val="1"/>
                <c:pt idx="0">
                  <c:v>Highlight</c:v>
                </c:pt>
              </c:strCache>
            </c:strRef>
          </c:tx>
          <c:spPr>
            <a:solidFill>
              <a:srgbClr val="6D49F2"/>
            </a:solidFill>
            <a:ln>
              <a:noFill/>
            </a:ln>
            <a:effectLst/>
          </c:spPr>
          <c:invertIfNegative val="0"/>
          <c:dLbls>
            <c:delete val="1"/>
          </c:dLbls>
          <c:val>
            <c:numRef>
              <c:f>Analysis!$AN$20:$AN$29</c:f>
              <c:numCache>
                <c:formatCode>General</c:formatCode>
                <c:ptCount val="10"/>
                <c:pt idx="0">
                  <c:v>1322</c:v>
                </c:pt>
                <c:pt idx="1">
                  <c:v>1271</c:v>
                </c:pt>
                <c:pt idx="2">
                  <c:v>754</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D6FD-418E-9D60-A55B8387C489}"/>
            </c:ext>
          </c:extLst>
        </c:ser>
        <c:dLbls>
          <c:dLblPos val="outEnd"/>
          <c:showLegendKey val="0"/>
          <c:showVal val="1"/>
          <c:showCatName val="0"/>
          <c:showSerName val="0"/>
          <c:showPercent val="0"/>
          <c:showBubbleSize val="0"/>
        </c:dLbls>
        <c:gapWidth val="61"/>
        <c:overlap val="100"/>
        <c:axId val="716898639"/>
        <c:axId val="716888079"/>
      </c:barChart>
      <c:catAx>
        <c:axId val="716898639"/>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716888079"/>
        <c:crosses val="autoZero"/>
        <c:auto val="1"/>
        <c:lblAlgn val="ctr"/>
        <c:lblOffset val="100"/>
        <c:noMultiLvlLbl val="0"/>
      </c:catAx>
      <c:valAx>
        <c:axId val="716888079"/>
        <c:scaling>
          <c:orientation val="minMax"/>
        </c:scaling>
        <c:delete val="1"/>
        <c:axPos val="t"/>
        <c:numFmt formatCode="General" sourceLinked="1"/>
        <c:majorTickMark val="none"/>
        <c:minorTickMark val="none"/>
        <c:tickLblPos val="nextTo"/>
        <c:crossAx val="71689863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[Transportation Project.xlsm]Analysis!PivotTable16</c:name>
    <c:fmtId val="23"/>
  </c:pivotSource>
  <c:chart>
    <c:autoTitleDeleted val="1"/>
    <c:pivotFmts>
      <c:pivotFmt>
        <c:idx val="0"/>
        <c:spPr>
          <a:solidFill>
            <a:schemeClr val="accent1"/>
          </a:solidFill>
          <a:ln w="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rgbClr val="6D49F2"/>
          </a:solidFill>
          <a:ln w="0">
            <a:solidFill>
              <a:schemeClr val="bg1"/>
            </a:solidFill>
          </a:ln>
          <a:effectLst/>
        </c:spPr>
      </c:pivotFmt>
      <c:pivotFmt>
        <c:idx val="2"/>
        <c:spPr>
          <a:solidFill>
            <a:srgbClr val="6141A6"/>
          </a:solidFill>
          <a:ln w="0">
            <a:solidFill>
              <a:schemeClr val="bg1"/>
            </a:solidFill>
          </a:ln>
          <a:effectLst/>
        </c:spPr>
      </c:pivotFmt>
      <c:pivotFmt>
        <c:idx val="3"/>
        <c:spPr>
          <a:solidFill>
            <a:srgbClr val="3C308C"/>
          </a:solidFill>
          <a:ln w="0">
            <a:solidFill>
              <a:schemeClr val="bg1"/>
            </a:solidFill>
          </a:ln>
          <a:effectLst/>
        </c:spPr>
      </c:pivotFmt>
      <c:pivotFmt>
        <c:idx val="4"/>
        <c:spPr>
          <a:solidFill>
            <a:schemeClr val="accent1"/>
          </a:solidFill>
          <a:ln w="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5"/>
        <c:spPr>
          <a:solidFill>
            <a:srgbClr val="6141A6"/>
          </a:solidFill>
          <a:ln w="0">
            <a:solidFill>
              <a:schemeClr val="bg1"/>
            </a:solidFill>
          </a:ln>
          <a:effectLst/>
        </c:spPr>
      </c:pivotFmt>
      <c:pivotFmt>
        <c:idx val="6"/>
        <c:spPr>
          <a:solidFill>
            <a:srgbClr val="6D49F2"/>
          </a:solidFill>
          <a:ln w="0">
            <a:solidFill>
              <a:schemeClr val="bg1"/>
            </a:solidFill>
          </a:ln>
          <a:effectLst/>
        </c:spPr>
      </c:pivotFmt>
      <c:pivotFmt>
        <c:idx val="7"/>
        <c:spPr>
          <a:solidFill>
            <a:srgbClr val="3C308C"/>
          </a:solidFill>
          <a:ln w="0">
            <a:solidFill>
              <a:schemeClr val="bg1"/>
            </a:solidFill>
          </a:ln>
          <a:effectLst/>
        </c:spPr>
      </c:pivotFmt>
      <c:pivotFmt>
        <c:idx val="8"/>
        <c:spPr>
          <a:solidFill>
            <a:schemeClr val="accent1"/>
          </a:solidFill>
          <a:ln w="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9"/>
        <c:spPr>
          <a:solidFill>
            <a:srgbClr val="6141A6"/>
          </a:solidFill>
          <a:ln w="0">
            <a:solidFill>
              <a:schemeClr val="bg1"/>
            </a:solidFill>
          </a:ln>
          <a:effectLst/>
        </c:spPr>
      </c:pivotFmt>
      <c:pivotFmt>
        <c:idx val="10"/>
        <c:spPr>
          <a:solidFill>
            <a:srgbClr val="6D49F2"/>
          </a:solidFill>
          <a:ln w="0">
            <a:solidFill>
              <a:schemeClr val="bg1"/>
            </a:solidFill>
          </a:ln>
          <a:effectLst/>
        </c:spPr>
      </c:pivotFmt>
      <c:pivotFmt>
        <c:idx val="11"/>
        <c:spPr>
          <a:solidFill>
            <a:srgbClr val="3C308C"/>
          </a:solidFill>
          <a:ln w="0">
            <a:solidFill>
              <a:schemeClr val="bg1"/>
            </a:solidFill>
          </a:ln>
          <a:effectLst/>
        </c:spPr>
      </c:pivotFmt>
    </c:pivotFmts>
    <c:plotArea>
      <c:layout/>
      <c:pieChart>
        <c:varyColors val="1"/>
        <c:ser>
          <c:idx val="0"/>
          <c:order val="0"/>
          <c:tx>
            <c:strRef>
              <c:f>Analysis!$AV$6</c:f>
              <c:strCache>
                <c:ptCount val="1"/>
                <c:pt idx="0">
                  <c:v>Total</c:v>
                </c:pt>
              </c:strCache>
            </c:strRef>
          </c:tx>
          <c:spPr>
            <a:ln w="0">
              <a:solidFill>
                <a:schemeClr val="bg1"/>
              </a:solidFill>
            </a:ln>
          </c:spPr>
          <c:dPt>
            <c:idx val="0"/>
            <c:bubble3D val="0"/>
            <c:spPr>
              <a:solidFill>
                <a:srgbClr val="6141A6"/>
              </a:solidFill>
              <a:ln w="0">
                <a:solidFill>
                  <a:schemeClr val="bg1"/>
                </a:solidFill>
              </a:ln>
              <a:effectLst/>
            </c:spPr>
            <c:extLst>
              <c:ext xmlns:c16="http://schemas.microsoft.com/office/drawing/2014/chart" uri="{C3380CC4-5D6E-409C-BE32-E72D297353CC}">
                <c16:uniqueId val="{00000001-A738-4BE2-B755-E7291201EE6A}"/>
              </c:ext>
            </c:extLst>
          </c:dPt>
          <c:dPt>
            <c:idx val="1"/>
            <c:bubble3D val="0"/>
            <c:spPr>
              <a:solidFill>
                <a:srgbClr val="6D49F2"/>
              </a:solidFill>
              <a:ln w="0">
                <a:solidFill>
                  <a:schemeClr val="bg1"/>
                </a:solidFill>
              </a:ln>
              <a:effectLst/>
            </c:spPr>
            <c:extLst>
              <c:ext xmlns:c16="http://schemas.microsoft.com/office/drawing/2014/chart" uri="{C3380CC4-5D6E-409C-BE32-E72D297353CC}">
                <c16:uniqueId val="{00000003-A738-4BE2-B755-E7291201EE6A}"/>
              </c:ext>
            </c:extLst>
          </c:dPt>
          <c:dPt>
            <c:idx val="2"/>
            <c:bubble3D val="0"/>
            <c:spPr>
              <a:solidFill>
                <a:srgbClr val="3C308C"/>
              </a:solidFill>
              <a:ln w="0">
                <a:solidFill>
                  <a:schemeClr val="bg1"/>
                </a:solidFill>
              </a:ln>
              <a:effectLst/>
            </c:spPr>
            <c:extLst>
              <c:ext xmlns:c16="http://schemas.microsoft.com/office/drawing/2014/chart" uri="{C3380CC4-5D6E-409C-BE32-E72D297353CC}">
                <c16:uniqueId val="{00000005-A738-4BE2-B755-E7291201EE6A}"/>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Ref>
              <c:f>Analysis!$AU$7:$AU$9</c:f>
              <c:strCache>
                <c:ptCount val="3"/>
                <c:pt idx="0">
                  <c:v>Female</c:v>
                </c:pt>
                <c:pt idx="1">
                  <c:v>Male</c:v>
                </c:pt>
                <c:pt idx="2">
                  <c:v>Other</c:v>
                </c:pt>
              </c:strCache>
            </c:strRef>
          </c:cat>
          <c:val>
            <c:numRef>
              <c:f>Analysis!$AV$7:$AV$9</c:f>
              <c:numCache>
                <c:formatCode>General</c:formatCode>
                <c:ptCount val="3"/>
                <c:pt idx="0">
                  <c:v>1007</c:v>
                </c:pt>
                <c:pt idx="1">
                  <c:v>4877</c:v>
                </c:pt>
                <c:pt idx="2">
                  <c:v>703</c:v>
                </c:pt>
              </c:numCache>
            </c:numRef>
          </c:val>
          <c:extLst>
            <c:ext xmlns:c16="http://schemas.microsoft.com/office/drawing/2014/chart" uri="{C3380CC4-5D6E-409C-BE32-E72D297353CC}">
              <c16:uniqueId val="{00000006-A738-4BE2-B755-E7291201EE6A}"/>
            </c:ext>
          </c:extLst>
        </c:ser>
        <c:dLbls>
          <c:showLegendKey val="0"/>
          <c:showVal val="0"/>
          <c:showCatName val="0"/>
          <c:showSerName val="0"/>
          <c:showPercent val="0"/>
          <c:showBubbleSize val="0"/>
          <c:showLeaderLines val="0"/>
        </c:dLbls>
        <c:firstSliceAng val="72"/>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Analysis!$BG$8</c:f>
              <c:strCache>
                <c:ptCount val="1"/>
                <c:pt idx="0">
                  <c:v>Sum of NumberOfRiders</c:v>
                </c:pt>
              </c:strCache>
            </c:strRef>
          </c:tx>
          <c:spPr>
            <a:solidFill>
              <a:srgbClr val="6D49F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Analysis!$BF$9:$BF$13</c:f>
              <c:numCache>
                <c:formatCode>General</c:formatCode>
                <c:ptCount val="5"/>
                <c:pt idx="0">
                  <c:v>4</c:v>
                </c:pt>
                <c:pt idx="1">
                  <c:v>28</c:v>
                </c:pt>
                <c:pt idx="2">
                  <c:v>27</c:v>
                </c:pt>
                <c:pt idx="3">
                  <c:v>21</c:v>
                </c:pt>
                <c:pt idx="4">
                  <c:v>38</c:v>
                </c:pt>
              </c:numCache>
            </c:numRef>
          </c:cat>
          <c:val>
            <c:numRef>
              <c:f>Analysis!$BG$9:$BG$13</c:f>
              <c:numCache>
                <c:formatCode>General</c:formatCode>
                <c:ptCount val="5"/>
                <c:pt idx="0">
                  <c:v>324</c:v>
                </c:pt>
                <c:pt idx="1">
                  <c:v>295</c:v>
                </c:pt>
                <c:pt idx="2">
                  <c:v>293</c:v>
                </c:pt>
                <c:pt idx="3">
                  <c:v>264</c:v>
                </c:pt>
                <c:pt idx="4">
                  <c:v>263</c:v>
                </c:pt>
              </c:numCache>
            </c:numRef>
          </c:val>
          <c:extLst>
            <c:ext xmlns:c16="http://schemas.microsoft.com/office/drawing/2014/chart" uri="{C3380CC4-5D6E-409C-BE32-E72D297353CC}">
              <c16:uniqueId val="{00000000-CFE8-4EC1-A46F-0CDA4BCCAE5C}"/>
            </c:ext>
          </c:extLst>
        </c:ser>
        <c:dLbls>
          <c:dLblPos val="outEnd"/>
          <c:showLegendKey val="0"/>
          <c:showVal val="1"/>
          <c:showCatName val="0"/>
          <c:showSerName val="0"/>
          <c:showPercent val="0"/>
          <c:showBubbleSize val="0"/>
        </c:dLbls>
        <c:gapWidth val="219"/>
        <c:overlap val="-27"/>
        <c:axId val="1468116399"/>
        <c:axId val="1468114479"/>
      </c:barChart>
      <c:catAx>
        <c:axId val="1468116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bg1">
                    <a:lumMod val="95000"/>
                  </a:schemeClr>
                </a:solidFill>
                <a:latin typeface="+mn-lt"/>
                <a:ea typeface="+mn-ea"/>
                <a:cs typeface="+mn-cs"/>
              </a:defRPr>
            </a:pPr>
            <a:endParaRPr lang="en-US"/>
          </a:p>
        </c:txPr>
        <c:crossAx val="1468114479"/>
        <c:crosses val="autoZero"/>
        <c:auto val="1"/>
        <c:lblAlgn val="ctr"/>
        <c:lblOffset val="100"/>
        <c:noMultiLvlLbl val="0"/>
      </c:catAx>
      <c:valAx>
        <c:axId val="1468114479"/>
        <c:scaling>
          <c:orientation val="minMax"/>
        </c:scaling>
        <c:delete val="1"/>
        <c:axPos val="l"/>
        <c:numFmt formatCode="General" sourceLinked="1"/>
        <c:majorTickMark val="none"/>
        <c:minorTickMark val="none"/>
        <c:tickLblPos val="nextTo"/>
        <c:crossAx val="146811639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Analysis!$BL$17</c:f>
              <c:strCache>
                <c:ptCount val="1"/>
                <c:pt idx="0">
                  <c:v>Sum of NumberOfRiders</c:v>
                </c:pt>
              </c:strCache>
            </c:strRef>
          </c:tx>
          <c:spPr>
            <a:solidFill>
              <a:schemeClr val="tx1">
                <a:lumMod val="65000"/>
                <a:lumOff val="35000"/>
              </a:schemeClr>
            </a:solidFill>
            <a:ln>
              <a:noFill/>
            </a:ln>
            <a:effectLst/>
          </c:spPr>
          <c:invertIfNegative val="0"/>
          <c:dLbls>
            <c:spPr>
              <a:noFill/>
              <a:ln>
                <a:noFill/>
              </a:ln>
              <a:effectLst/>
            </c:spPr>
            <c:txPr>
              <a:bodyPr rot="0" spcFirstLastPara="1" vertOverflow="ellipsis" vert="horz" wrap="square" anchor="ctr" anchorCtr="1"/>
              <a:lstStyle/>
              <a:p>
                <a:pPr>
                  <a:defRPr sz="1050" b="1"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Analysis!$BK$18:$BK$23</c:f>
              <c:strCache>
                <c:ptCount val="6"/>
                <c:pt idx="0">
                  <c:v>18-30</c:v>
                </c:pt>
                <c:pt idx="1">
                  <c:v>30-40</c:v>
                </c:pt>
                <c:pt idx="2">
                  <c:v>40-50</c:v>
                </c:pt>
                <c:pt idx="3">
                  <c:v>50-60</c:v>
                </c:pt>
                <c:pt idx="4">
                  <c:v>60 Plus</c:v>
                </c:pt>
                <c:pt idx="5">
                  <c:v>Under 18</c:v>
                </c:pt>
              </c:strCache>
            </c:strRef>
          </c:cat>
          <c:val>
            <c:numRef>
              <c:f>Analysis!$BL$18:$BL$23</c:f>
              <c:numCache>
                <c:formatCode>General</c:formatCode>
                <c:ptCount val="6"/>
                <c:pt idx="0">
                  <c:v>1167</c:v>
                </c:pt>
                <c:pt idx="1">
                  <c:v>1474</c:v>
                </c:pt>
                <c:pt idx="2">
                  <c:v>1281</c:v>
                </c:pt>
                <c:pt idx="3">
                  <c:v>1382</c:v>
                </c:pt>
                <c:pt idx="4">
                  <c:v>1089</c:v>
                </c:pt>
                <c:pt idx="5">
                  <c:v>194</c:v>
                </c:pt>
              </c:numCache>
            </c:numRef>
          </c:val>
          <c:extLst>
            <c:ext xmlns:c16="http://schemas.microsoft.com/office/drawing/2014/chart" uri="{C3380CC4-5D6E-409C-BE32-E72D297353CC}">
              <c16:uniqueId val="{00000000-1ACB-4640-B0BC-7497F27C349C}"/>
            </c:ext>
          </c:extLst>
        </c:ser>
        <c:ser>
          <c:idx val="1"/>
          <c:order val="1"/>
          <c:tx>
            <c:strRef>
              <c:f>Analysis!$BM$17</c:f>
              <c:strCache>
                <c:ptCount val="1"/>
                <c:pt idx="0">
                  <c:v>Highlight</c:v>
                </c:pt>
              </c:strCache>
            </c:strRef>
          </c:tx>
          <c:spPr>
            <a:solidFill>
              <a:srgbClr val="6D49F2"/>
            </a:solidFill>
            <a:ln>
              <a:noFill/>
            </a:ln>
            <a:effectLst/>
          </c:spPr>
          <c:invertIfNegative val="0"/>
          <c:val>
            <c:numRef>
              <c:f>Analysis!$BM$18:$BM$23</c:f>
              <c:numCache>
                <c:formatCode>General</c:formatCode>
                <c:ptCount val="6"/>
                <c:pt idx="0">
                  <c:v>0</c:v>
                </c:pt>
                <c:pt idx="1">
                  <c:v>1474</c:v>
                </c:pt>
                <c:pt idx="2">
                  <c:v>0</c:v>
                </c:pt>
                <c:pt idx="3">
                  <c:v>0</c:v>
                </c:pt>
                <c:pt idx="4">
                  <c:v>0</c:v>
                </c:pt>
                <c:pt idx="5">
                  <c:v>0</c:v>
                </c:pt>
              </c:numCache>
            </c:numRef>
          </c:val>
          <c:extLst>
            <c:ext xmlns:c16="http://schemas.microsoft.com/office/drawing/2014/chart" uri="{C3380CC4-5D6E-409C-BE32-E72D297353CC}">
              <c16:uniqueId val="{00000001-1ACB-4640-B0BC-7497F27C349C}"/>
            </c:ext>
          </c:extLst>
        </c:ser>
        <c:dLbls>
          <c:showLegendKey val="0"/>
          <c:showVal val="0"/>
          <c:showCatName val="0"/>
          <c:showSerName val="0"/>
          <c:showPercent val="0"/>
          <c:showBubbleSize val="0"/>
        </c:dLbls>
        <c:gapWidth val="58"/>
        <c:overlap val="100"/>
        <c:axId val="1541589776"/>
        <c:axId val="1541581616"/>
      </c:barChart>
      <c:catAx>
        <c:axId val="154158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lumMod val="95000"/>
                  </a:schemeClr>
                </a:solidFill>
                <a:latin typeface="+mn-lt"/>
                <a:ea typeface="+mn-ea"/>
                <a:cs typeface="+mn-cs"/>
              </a:defRPr>
            </a:pPr>
            <a:endParaRPr lang="en-US"/>
          </a:p>
        </c:txPr>
        <c:crossAx val="1541581616"/>
        <c:crosses val="autoZero"/>
        <c:auto val="1"/>
        <c:lblAlgn val="ctr"/>
        <c:lblOffset val="100"/>
        <c:noMultiLvlLbl val="0"/>
      </c:catAx>
      <c:valAx>
        <c:axId val="1541581616"/>
        <c:scaling>
          <c:orientation val="minMax"/>
        </c:scaling>
        <c:delete val="1"/>
        <c:axPos val="l"/>
        <c:numFmt formatCode="General" sourceLinked="1"/>
        <c:majorTickMark val="none"/>
        <c:minorTickMark val="none"/>
        <c:tickLblPos val="nextTo"/>
        <c:crossAx val="154158977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sz="900"/>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[Transportation Project.xlsm]Analysis!PivotTable25</c:name>
    <c:fmtId val="29"/>
  </c:pivotSource>
  <c:chart>
    <c:autoTitleDeleted val="1"/>
    <c:pivotFmts>
      <c:pivotFmt>
        <c:idx val="0"/>
        <c:spPr>
          <a:solidFill>
            <a:srgbClr val="6D49F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6D49F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6D49F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Analysis!$BS$8</c:f>
              <c:strCache>
                <c:ptCount val="1"/>
                <c:pt idx="0">
                  <c:v>Total</c:v>
                </c:pt>
              </c:strCache>
            </c:strRef>
          </c:tx>
          <c:spPr>
            <a:solidFill>
              <a:srgbClr val="6D49F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Analysis!$BR$9:$BR$14</c:f>
              <c:strCache>
                <c:ptCount val="6"/>
                <c:pt idx="0">
                  <c:v>Professional</c:v>
                </c:pt>
                <c:pt idx="1">
                  <c:v>Other</c:v>
                </c:pt>
                <c:pt idx="2">
                  <c:v>Retired</c:v>
                </c:pt>
                <c:pt idx="3">
                  <c:v>Self-Employed</c:v>
                </c:pt>
                <c:pt idx="4">
                  <c:v>Unemployed</c:v>
                </c:pt>
                <c:pt idx="5">
                  <c:v>Student</c:v>
                </c:pt>
              </c:strCache>
            </c:strRef>
          </c:cat>
          <c:val>
            <c:numRef>
              <c:f>Analysis!$BS$9:$BS$14</c:f>
              <c:numCache>
                <c:formatCode>General</c:formatCode>
                <c:ptCount val="6"/>
                <c:pt idx="0">
                  <c:v>1554</c:v>
                </c:pt>
                <c:pt idx="1">
                  <c:v>1633</c:v>
                </c:pt>
                <c:pt idx="2">
                  <c:v>589</c:v>
                </c:pt>
                <c:pt idx="3">
                  <c:v>1321</c:v>
                </c:pt>
                <c:pt idx="4">
                  <c:v>1011</c:v>
                </c:pt>
                <c:pt idx="5">
                  <c:v>479</c:v>
                </c:pt>
              </c:numCache>
            </c:numRef>
          </c:val>
          <c:extLst>
            <c:ext xmlns:c16="http://schemas.microsoft.com/office/drawing/2014/chart" uri="{C3380CC4-5D6E-409C-BE32-E72D297353CC}">
              <c16:uniqueId val="{00000000-DAB7-4981-A7B1-9A5C195F6824}"/>
            </c:ext>
          </c:extLst>
        </c:ser>
        <c:dLbls>
          <c:showLegendKey val="0"/>
          <c:showVal val="0"/>
          <c:showCatName val="0"/>
          <c:showSerName val="0"/>
          <c:showPercent val="0"/>
          <c:showBubbleSize val="0"/>
        </c:dLbls>
        <c:gapWidth val="62"/>
        <c:axId val="1541591216"/>
        <c:axId val="1541584016"/>
      </c:barChart>
      <c:catAx>
        <c:axId val="15415912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t" anchorCtr="0"/>
          <a:lstStyle/>
          <a:p>
            <a:pPr>
              <a:defRPr sz="1000" b="1" i="0" u="none" strike="noStrike" kern="1200" baseline="0">
                <a:solidFill>
                  <a:schemeClr val="bg1">
                    <a:lumMod val="95000"/>
                  </a:schemeClr>
                </a:solidFill>
                <a:latin typeface="+mn-lt"/>
                <a:ea typeface="+mn-ea"/>
                <a:cs typeface="+mn-cs"/>
              </a:defRPr>
            </a:pPr>
            <a:endParaRPr lang="en-US"/>
          </a:p>
        </c:txPr>
        <c:crossAx val="1541584016"/>
        <c:crosses val="autoZero"/>
        <c:auto val="1"/>
        <c:lblAlgn val="ctr"/>
        <c:lblOffset val="100"/>
        <c:tickLblSkip val="1"/>
        <c:noMultiLvlLbl val="0"/>
      </c:catAx>
      <c:valAx>
        <c:axId val="1541584016"/>
        <c:scaling>
          <c:orientation val="minMax"/>
        </c:scaling>
        <c:delete val="1"/>
        <c:axPos val="t"/>
        <c:numFmt formatCode="General" sourceLinked="1"/>
        <c:majorTickMark val="none"/>
        <c:minorTickMark val="none"/>
        <c:tickLblPos val="nextTo"/>
        <c:crossAx val="1541591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BA$6"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hyperlink" Target="#InfoAnalysis!A1"/><Relationship Id="rId3" Type="http://schemas.openxmlformats.org/officeDocument/2006/relationships/image" Target="../media/image2.png"/><Relationship Id="rId7" Type="http://schemas.openxmlformats.org/officeDocument/2006/relationships/chart" Target="../charts/chart3.xml"/><Relationship Id="rId12"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4.svg"/><Relationship Id="rId11" Type="http://schemas.openxmlformats.org/officeDocument/2006/relationships/chart" Target="../charts/chart7.xml"/><Relationship Id="rId5" Type="http://schemas.openxmlformats.org/officeDocument/2006/relationships/image" Target="../media/image3.png"/><Relationship Id="rId10" Type="http://schemas.openxmlformats.org/officeDocument/2006/relationships/chart" Target="../charts/chart6.xml"/><Relationship Id="rId4" Type="http://schemas.openxmlformats.org/officeDocument/2006/relationships/chart" Target="../charts/chart2.xml"/><Relationship Id="rId9" Type="http://schemas.openxmlformats.org/officeDocument/2006/relationships/chart" Target="../charts/chart5.xml"/><Relationship Id="rId14" Type="http://schemas.openxmlformats.org/officeDocument/2006/relationships/image" Target="../media/image6.pn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10.xml"/><Relationship Id="rId7" Type="http://schemas.openxmlformats.org/officeDocument/2006/relationships/image" Target="../media/image5.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hyperlink" Target="#TimeAnalysis!A1"/><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500063</xdr:colOff>
      <xdr:row>0</xdr:row>
      <xdr:rowOff>4762</xdr:rowOff>
    </xdr:from>
    <xdr:to>
      <xdr:col>20</xdr:col>
      <xdr:colOff>619123</xdr:colOff>
      <xdr:row>40</xdr:row>
      <xdr:rowOff>4762</xdr:rowOff>
    </xdr:to>
    <xdr:sp macro="" textlink="">
      <xdr:nvSpPr>
        <xdr:cNvPr id="8" name="Arrow: Pentagon 7">
          <a:extLst>
            <a:ext uri="{FF2B5EF4-FFF2-40B4-BE49-F238E27FC236}">
              <a16:creationId xmlns:a16="http://schemas.microsoft.com/office/drawing/2014/main" id="{66FB381A-8BA2-D458-957E-674AB0CF9F19}"/>
            </a:ext>
          </a:extLst>
        </xdr:cNvPr>
        <xdr:cNvSpPr/>
      </xdr:nvSpPr>
      <xdr:spPr>
        <a:xfrm flipH="1">
          <a:off x="2443163" y="4762"/>
          <a:ext cx="11129960" cy="7239000"/>
        </a:xfrm>
        <a:prstGeom prst="homePlate">
          <a:avLst>
            <a:gd name="adj" fmla="val 17711"/>
          </a:avLst>
        </a:prstGeom>
        <a:gradFill flip="none" rotWithShape="1">
          <a:gsLst>
            <a:gs pos="39000">
              <a:schemeClr val="bg2">
                <a:alpha val="57000"/>
                <a:lumMod val="0"/>
              </a:schemeClr>
            </a:gs>
            <a:gs pos="63000">
              <a:schemeClr val="tx1">
                <a:lumMod val="0"/>
                <a:alpha val="54000"/>
              </a:schemeClr>
            </a:gs>
            <a:gs pos="100000">
              <a:schemeClr val="tx1">
                <a:lumMod val="0"/>
              </a:schemeClr>
            </a:gs>
            <a:gs pos="0">
              <a:schemeClr val="bg2">
                <a:lumMod val="1100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552449</xdr:colOff>
      <xdr:row>0</xdr:row>
      <xdr:rowOff>0</xdr:rowOff>
    </xdr:from>
    <xdr:to>
      <xdr:col>20</xdr:col>
      <xdr:colOff>571497</xdr:colOff>
      <xdr:row>40</xdr:row>
      <xdr:rowOff>0</xdr:rowOff>
    </xdr:to>
    <xdr:sp macro="" textlink="">
      <xdr:nvSpPr>
        <xdr:cNvPr id="7" name="Arrow: Pentagon 6">
          <a:extLst>
            <a:ext uri="{FF2B5EF4-FFF2-40B4-BE49-F238E27FC236}">
              <a16:creationId xmlns:a16="http://schemas.microsoft.com/office/drawing/2014/main" id="{BE6B87D6-AC1D-59ED-5FCB-CADC50BB0590}"/>
            </a:ext>
          </a:extLst>
        </xdr:cNvPr>
        <xdr:cNvSpPr/>
      </xdr:nvSpPr>
      <xdr:spPr>
        <a:xfrm flipH="1">
          <a:off x="3790949" y="0"/>
          <a:ext cx="9734548" cy="7239000"/>
        </a:xfrm>
        <a:prstGeom prst="homePlate">
          <a:avLst>
            <a:gd name="adj" fmla="val 17711"/>
          </a:avLst>
        </a:prstGeom>
        <a:gradFill flip="none" rotWithShape="1">
          <a:gsLst>
            <a:gs pos="52000">
              <a:schemeClr val="tx1">
                <a:lumMod val="95000"/>
                <a:lumOff val="5000"/>
              </a:schemeClr>
            </a:gs>
            <a:gs pos="38000">
              <a:schemeClr val="tx1">
                <a:lumMod val="85000"/>
                <a:lumOff val="15000"/>
              </a:schemeClr>
            </a:gs>
            <a:gs pos="98000">
              <a:schemeClr val="tx1">
                <a:lumMod val="74000"/>
                <a:lumOff val="26000"/>
              </a:schemeClr>
            </a:gs>
            <a:gs pos="0">
              <a:schemeClr val="tx1">
                <a:alpha val="49000"/>
                <a:lumMod val="59000"/>
                <a:lumOff val="4100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509587</xdr:colOff>
      <xdr:row>0</xdr:row>
      <xdr:rowOff>14288</xdr:rowOff>
    </xdr:from>
    <xdr:to>
      <xdr:col>20</xdr:col>
      <xdr:colOff>581022</xdr:colOff>
      <xdr:row>40</xdr:row>
      <xdr:rowOff>14288</xdr:rowOff>
    </xdr:to>
    <xdr:sp macro="" textlink="">
      <xdr:nvSpPr>
        <xdr:cNvPr id="4" name="Arrow: Pentagon 3">
          <a:extLst>
            <a:ext uri="{FF2B5EF4-FFF2-40B4-BE49-F238E27FC236}">
              <a16:creationId xmlns:a16="http://schemas.microsoft.com/office/drawing/2014/main" id="{4F0C6097-D789-1FC6-CEDD-44F58F35F637}"/>
            </a:ext>
          </a:extLst>
        </xdr:cNvPr>
        <xdr:cNvSpPr/>
      </xdr:nvSpPr>
      <xdr:spPr>
        <a:xfrm flipH="1">
          <a:off x="5043487" y="14288"/>
          <a:ext cx="8491535" cy="7239000"/>
        </a:xfrm>
        <a:prstGeom prst="homePlate">
          <a:avLst>
            <a:gd name="adj" fmla="val 17711"/>
          </a:avLst>
        </a:prstGeom>
        <a:gradFill flip="none" rotWithShape="1">
          <a:gsLst>
            <a:gs pos="86000">
              <a:schemeClr val="tx1">
                <a:lumMod val="93000"/>
                <a:lumOff val="7000"/>
              </a:schemeClr>
            </a:gs>
            <a:gs pos="60000">
              <a:schemeClr val="tx1">
                <a:lumMod val="75000"/>
                <a:lumOff val="25000"/>
                <a:alpha val="60000"/>
              </a:schemeClr>
            </a:gs>
            <a:gs pos="22000">
              <a:schemeClr val="tx1">
                <a:lumMod val="97000"/>
                <a:lumOff val="3000"/>
                <a:alpha val="9000"/>
              </a:schemeClr>
            </a:gs>
            <a:gs pos="0">
              <a:schemeClr val="tx1">
                <a:alpha val="68000"/>
                <a:lumMod val="6500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438149</xdr:colOff>
      <xdr:row>0</xdr:row>
      <xdr:rowOff>14288</xdr:rowOff>
    </xdr:from>
    <xdr:to>
      <xdr:col>20</xdr:col>
      <xdr:colOff>514348</xdr:colOff>
      <xdr:row>40</xdr:row>
      <xdr:rowOff>14288</xdr:rowOff>
    </xdr:to>
    <xdr:sp macro="" textlink="">
      <xdr:nvSpPr>
        <xdr:cNvPr id="3" name="Arrow: Pentagon 2">
          <a:extLst>
            <a:ext uri="{FF2B5EF4-FFF2-40B4-BE49-F238E27FC236}">
              <a16:creationId xmlns:a16="http://schemas.microsoft.com/office/drawing/2014/main" id="{40328DC6-8872-7DE7-C676-58273E1B1F71}"/>
            </a:ext>
          </a:extLst>
        </xdr:cNvPr>
        <xdr:cNvSpPr/>
      </xdr:nvSpPr>
      <xdr:spPr>
        <a:xfrm flipH="1">
          <a:off x="6267449" y="14288"/>
          <a:ext cx="7200899" cy="7239000"/>
        </a:xfrm>
        <a:prstGeom prst="homePlate">
          <a:avLst>
            <a:gd name="adj" fmla="val 17711"/>
          </a:avLst>
        </a:prstGeom>
        <a:gradFill flip="none" rotWithShape="1">
          <a:gsLst>
            <a:gs pos="49000">
              <a:schemeClr val="tx1">
                <a:lumMod val="80000"/>
              </a:schemeClr>
            </a:gs>
            <a:gs pos="79000">
              <a:srgbClr val="2D2D2D"/>
            </a:gs>
            <a:gs pos="100000">
              <a:schemeClr val="tx1">
                <a:lumMod val="56000"/>
                <a:lumOff val="44000"/>
                <a:alpha val="54000"/>
              </a:schemeClr>
            </a:gs>
            <a:gs pos="65000">
              <a:schemeClr val="tx1">
                <a:lumMod val="32000"/>
                <a:alpha val="49000"/>
              </a:schemeClr>
            </a:gs>
            <a:gs pos="26000">
              <a:schemeClr val="tx1">
                <a:lumMod val="87000"/>
                <a:lumOff val="13000"/>
              </a:schemeClr>
            </a:gs>
            <a:gs pos="0">
              <a:schemeClr val="tx1">
                <a:lumMod val="82000"/>
                <a:lumOff val="1800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533400</xdr:colOff>
      <xdr:row>0</xdr:row>
      <xdr:rowOff>0</xdr:rowOff>
    </xdr:from>
    <xdr:to>
      <xdr:col>20</xdr:col>
      <xdr:colOff>576262</xdr:colOff>
      <xdr:row>40</xdr:row>
      <xdr:rowOff>0</xdr:rowOff>
    </xdr:to>
    <xdr:sp macro="" textlink="">
      <xdr:nvSpPr>
        <xdr:cNvPr id="2" name="Arrow: Pentagon 1">
          <a:extLst>
            <a:ext uri="{FF2B5EF4-FFF2-40B4-BE49-F238E27FC236}">
              <a16:creationId xmlns:a16="http://schemas.microsoft.com/office/drawing/2014/main" id="{133EDBC0-FDF3-6A09-D58C-44BFA557D00B}"/>
            </a:ext>
          </a:extLst>
        </xdr:cNvPr>
        <xdr:cNvSpPr/>
      </xdr:nvSpPr>
      <xdr:spPr>
        <a:xfrm flipH="1">
          <a:off x="7658100" y="0"/>
          <a:ext cx="5872162" cy="7239000"/>
        </a:xfrm>
        <a:prstGeom prst="homePlate">
          <a:avLst>
            <a:gd name="adj" fmla="val 17711"/>
          </a:avLst>
        </a:prstGeom>
        <a:gradFill flip="none" rotWithShape="1">
          <a:gsLst>
            <a:gs pos="50000">
              <a:schemeClr val="tx1">
                <a:lumMod val="73000"/>
                <a:lumOff val="27000"/>
              </a:schemeClr>
            </a:gs>
            <a:gs pos="100000">
              <a:schemeClr val="tx1">
                <a:lumMod val="80000"/>
                <a:lumOff val="20000"/>
              </a:schemeClr>
            </a:gs>
            <a:gs pos="71000">
              <a:schemeClr val="tx1">
                <a:lumMod val="80000"/>
                <a:lumOff val="20000"/>
              </a:schemeClr>
            </a:gs>
            <a:gs pos="22000">
              <a:schemeClr val="tx1">
                <a:lumMod val="86000"/>
                <a:lumOff val="14000"/>
              </a:schemeClr>
            </a:gs>
            <a:gs pos="0">
              <a:schemeClr val="tx1">
                <a:lumMod val="95000"/>
                <a:lumOff val="5000"/>
                <a:alpha val="4400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528635</xdr:colOff>
      <xdr:row>2</xdr:row>
      <xdr:rowOff>47627</xdr:rowOff>
    </xdr:from>
    <xdr:to>
      <xdr:col>14</xdr:col>
      <xdr:colOff>4763</xdr:colOff>
      <xdr:row>6</xdr:row>
      <xdr:rowOff>119062</xdr:rowOff>
    </xdr:to>
    <xdr:sp macro="" textlink="">
      <xdr:nvSpPr>
        <xdr:cNvPr id="9" name="Rectangle: Rounded Corners 8">
          <a:extLst>
            <a:ext uri="{FF2B5EF4-FFF2-40B4-BE49-F238E27FC236}">
              <a16:creationId xmlns:a16="http://schemas.microsoft.com/office/drawing/2014/main" id="{7E6B8296-5ADE-9AAD-77D6-375B43B15599}"/>
            </a:ext>
          </a:extLst>
        </xdr:cNvPr>
        <xdr:cNvSpPr/>
      </xdr:nvSpPr>
      <xdr:spPr>
        <a:xfrm>
          <a:off x="1176335" y="409577"/>
          <a:ext cx="7896228" cy="795335"/>
        </a:xfrm>
        <a:prstGeom prst="roundRect">
          <a:avLst>
            <a:gd name="adj" fmla="val 11459"/>
          </a:avLst>
        </a:prstGeom>
        <a:solidFill>
          <a:schemeClr val="tx1">
            <a:lumMod val="95000"/>
            <a:lumOff val="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80960</xdr:colOff>
      <xdr:row>0</xdr:row>
      <xdr:rowOff>166690</xdr:rowOff>
    </xdr:from>
    <xdr:to>
      <xdr:col>1</xdr:col>
      <xdr:colOff>342900</xdr:colOff>
      <xdr:row>39</xdr:row>
      <xdr:rowOff>14288</xdr:rowOff>
    </xdr:to>
    <xdr:sp macro="" textlink="">
      <xdr:nvSpPr>
        <xdr:cNvPr id="10" name="Rectangle: Rounded Corners 9">
          <a:extLst>
            <a:ext uri="{FF2B5EF4-FFF2-40B4-BE49-F238E27FC236}">
              <a16:creationId xmlns:a16="http://schemas.microsoft.com/office/drawing/2014/main" id="{CD95313B-A6B4-9F9C-4EE0-78C0EC3B45FF}"/>
            </a:ext>
          </a:extLst>
        </xdr:cNvPr>
        <xdr:cNvSpPr/>
      </xdr:nvSpPr>
      <xdr:spPr>
        <a:xfrm>
          <a:off x="80960" y="166690"/>
          <a:ext cx="909640" cy="6905623"/>
        </a:xfrm>
        <a:prstGeom prst="roundRect">
          <a:avLst>
            <a:gd name="adj" fmla="val 11459"/>
          </a:avLst>
        </a:prstGeom>
        <a:solidFill>
          <a:schemeClr val="bg2">
            <a:lumMod val="10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2</xdr:col>
      <xdr:colOff>95250</xdr:colOff>
      <xdr:row>2</xdr:row>
      <xdr:rowOff>100012</xdr:rowOff>
    </xdr:from>
    <xdr:ext cx="1514475" cy="371475"/>
    <xdr:sp macro="" textlink="">
      <xdr:nvSpPr>
        <xdr:cNvPr id="11" name="TextBox 10">
          <a:extLst>
            <a:ext uri="{FF2B5EF4-FFF2-40B4-BE49-F238E27FC236}">
              <a16:creationId xmlns:a16="http://schemas.microsoft.com/office/drawing/2014/main" id="{DE5B9C99-22CF-6852-D7B0-B727A2BBBCC5}"/>
            </a:ext>
          </a:extLst>
        </xdr:cNvPr>
        <xdr:cNvSpPr txBox="1"/>
      </xdr:nvSpPr>
      <xdr:spPr>
        <a:xfrm>
          <a:off x="1390650" y="461962"/>
          <a:ext cx="1514475"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Total</a:t>
          </a:r>
          <a:r>
            <a:rPr lang="en-IN" sz="1200" b="1" baseline="0">
              <a:solidFill>
                <a:schemeClr val="bg1"/>
              </a:solidFill>
              <a:latin typeface="Arial" panose="020B0604020202020204" pitchFamily="34" charset="0"/>
              <a:cs typeface="Arial" panose="020B0604020202020204" pitchFamily="34" charset="0"/>
            </a:rPr>
            <a:t> Passangers</a:t>
          </a:r>
          <a:endParaRPr lang="en-IN" sz="1200" b="1">
            <a:solidFill>
              <a:schemeClr val="bg1"/>
            </a:solidFill>
            <a:latin typeface="Arial" panose="020B0604020202020204" pitchFamily="34" charset="0"/>
            <a:cs typeface="Arial" panose="020B0604020202020204" pitchFamily="34" charset="0"/>
          </a:endParaRPr>
        </a:p>
      </xdr:txBody>
    </xdr:sp>
    <xdr:clientData/>
  </xdr:oneCellAnchor>
  <xdr:oneCellAnchor>
    <xdr:from>
      <xdr:col>4</xdr:col>
      <xdr:colOff>638174</xdr:colOff>
      <xdr:row>2</xdr:row>
      <xdr:rowOff>100012</xdr:rowOff>
    </xdr:from>
    <xdr:ext cx="1643063" cy="371475"/>
    <xdr:sp macro="" textlink="">
      <xdr:nvSpPr>
        <xdr:cNvPr id="12" name="TextBox 11">
          <a:extLst>
            <a:ext uri="{FF2B5EF4-FFF2-40B4-BE49-F238E27FC236}">
              <a16:creationId xmlns:a16="http://schemas.microsoft.com/office/drawing/2014/main" id="{BC1F6E0E-2996-3D76-5F50-5147A7A15CB8}"/>
            </a:ext>
          </a:extLst>
        </xdr:cNvPr>
        <xdr:cNvSpPr txBox="1"/>
      </xdr:nvSpPr>
      <xdr:spPr>
        <a:xfrm>
          <a:off x="3228974" y="461962"/>
          <a:ext cx="1643063"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Avg. Rider Per Trip</a:t>
          </a:r>
        </a:p>
      </xdr:txBody>
    </xdr:sp>
    <xdr:clientData/>
  </xdr:oneCellAnchor>
  <xdr:oneCellAnchor>
    <xdr:from>
      <xdr:col>7</xdr:col>
      <xdr:colOff>626267</xdr:colOff>
      <xdr:row>2</xdr:row>
      <xdr:rowOff>100012</xdr:rowOff>
    </xdr:from>
    <xdr:ext cx="1514475" cy="371475"/>
    <xdr:sp macro="" textlink="">
      <xdr:nvSpPr>
        <xdr:cNvPr id="13" name="TextBox 12">
          <a:extLst>
            <a:ext uri="{FF2B5EF4-FFF2-40B4-BE49-F238E27FC236}">
              <a16:creationId xmlns:a16="http://schemas.microsoft.com/office/drawing/2014/main" id="{5EF162D3-F3DF-16B7-F6CB-21B858708C1F}"/>
            </a:ext>
          </a:extLst>
        </xdr:cNvPr>
        <xdr:cNvSpPr txBox="1"/>
      </xdr:nvSpPr>
      <xdr:spPr>
        <a:xfrm>
          <a:off x="5160167" y="461962"/>
          <a:ext cx="1514475"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Busiest Route</a:t>
          </a:r>
        </a:p>
      </xdr:txBody>
    </xdr:sp>
    <xdr:clientData/>
  </xdr:oneCellAnchor>
  <xdr:oneCellAnchor>
    <xdr:from>
      <xdr:col>10</xdr:col>
      <xdr:colOff>533398</xdr:colOff>
      <xdr:row>2</xdr:row>
      <xdr:rowOff>100012</xdr:rowOff>
    </xdr:from>
    <xdr:ext cx="1514475" cy="371475"/>
    <xdr:sp macro="" textlink="">
      <xdr:nvSpPr>
        <xdr:cNvPr id="14" name="TextBox 13">
          <a:extLst>
            <a:ext uri="{FF2B5EF4-FFF2-40B4-BE49-F238E27FC236}">
              <a16:creationId xmlns:a16="http://schemas.microsoft.com/office/drawing/2014/main" id="{F9215634-DC11-6624-CBCA-51245C931265}"/>
            </a:ext>
          </a:extLst>
        </xdr:cNvPr>
        <xdr:cNvSpPr txBox="1"/>
      </xdr:nvSpPr>
      <xdr:spPr>
        <a:xfrm>
          <a:off x="7010398" y="461962"/>
          <a:ext cx="1514475"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Least</a:t>
          </a:r>
          <a:r>
            <a:rPr lang="en-IN" sz="1200" b="1" baseline="0">
              <a:solidFill>
                <a:schemeClr val="bg1"/>
              </a:solidFill>
              <a:latin typeface="Arial" panose="020B0604020202020204" pitchFamily="34" charset="0"/>
              <a:cs typeface="Arial" panose="020B0604020202020204" pitchFamily="34" charset="0"/>
            </a:rPr>
            <a:t> Busy Route</a:t>
          </a:r>
          <a:endParaRPr lang="en-IN" sz="1200" b="1">
            <a:solidFill>
              <a:schemeClr val="bg1"/>
            </a:solidFill>
            <a:latin typeface="Arial" panose="020B0604020202020204" pitchFamily="34" charset="0"/>
            <a:cs typeface="Arial" panose="020B0604020202020204" pitchFamily="34" charset="0"/>
          </a:endParaRPr>
        </a:p>
      </xdr:txBody>
    </xdr:sp>
    <xdr:clientData/>
  </xdr:oneCellAnchor>
  <xdr:oneCellAnchor>
    <xdr:from>
      <xdr:col>2</xdr:col>
      <xdr:colOff>95250</xdr:colOff>
      <xdr:row>4</xdr:row>
      <xdr:rowOff>123824</xdr:rowOff>
    </xdr:from>
    <xdr:ext cx="1514475" cy="371475"/>
    <xdr:sp macro="" textlink="Analysis!B7">
      <xdr:nvSpPr>
        <xdr:cNvPr id="15" name="TextBox 14">
          <a:extLst>
            <a:ext uri="{FF2B5EF4-FFF2-40B4-BE49-F238E27FC236}">
              <a16:creationId xmlns:a16="http://schemas.microsoft.com/office/drawing/2014/main" id="{5EF345C8-7463-C943-C874-6DBEBCB20911}"/>
            </a:ext>
          </a:extLst>
        </xdr:cNvPr>
        <xdr:cNvSpPr txBox="1"/>
      </xdr:nvSpPr>
      <xdr:spPr>
        <a:xfrm>
          <a:off x="1390650" y="847724"/>
          <a:ext cx="1514475"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59E80EEA-4A70-4A54-9A32-7E061E467AD7}" type="TxLink">
            <a:rPr lang="en-US" sz="1600" b="1" i="0" u="none" strike="noStrike">
              <a:solidFill>
                <a:schemeClr val="bg1"/>
              </a:solidFill>
              <a:latin typeface="Aptos Narrow"/>
              <a:cs typeface="Arial" panose="020B0604020202020204" pitchFamily="34" charset="0"/>
            </a:rPr>
            <a:pPr algn="ctr"/>
            <a:t>6587</a:t>
          </a:fld>
          <a:endParaRPr lang="en-IN" sz="2000" b="1">
            <a:solidFill>
              <a:schemeClr val="bg1"/>
            </a:solidFill>
            <a:latin typeface="Arial" panose="020B0604020202020204" pitchFamily="34" charset="0"/>
            <a:cs typeface="Arial" panose="020B0604020202020204" pitchFamily="34" charset="0"/>
          </a:endParaRPr>
        </a:p>
      </xdr:txBody>
    </xdr:sp>
    <xdr:clientData/>
  </xdr:oneCellAnchor>
  <xdr:oneCellAnchor>
    <xdr:from>
      <xdr:col>5</xdr:col>
      <xdr:colOff>54768</xdr:colOff>
      <xdr:row>4</xdr:row>
      <xdr:rowOff>123824</xdr:rowOff>
    </xdr:from>
    <xdr:ext cx="1514475" cy="371475"/>
    <xdr:sp macro="" textlink="Analysis!C7">
      <xdr:nvSpPr>
        <xdr:cNvPr id="16" name="TextBox 15">
          <a:extLst>
            <a:ext uri="{FF2B5EF4-FFF2-40B4-BE49-F238E27FC236}">
              <a16:creationId xmlns:a16="http://schemas.microsoft.com/office/drawing/2014/main" id="{6E6A78A0-255D-2673-6966-355AD253938B}"/>
            </a:ext>
          </a:extLst>
        </xdr:cNvPr>
        <xdr:cNvSpPr txBox="1"/>
      </xdr:nvSpPr>
      <xdr:spPr>
        <a:xfrm>
          <a:off x="3293268" y="847724"/>
          <a:ext cx="1514475"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5054F5D5-8600-4F3D-989C-44D9BDF48507}" type="TxLink">
            <a:rPr lang="en-US" sz="1600" b="1" i="0" u="none" strike="noStrike">
              <a:solidFill>
                <a:schemeClr val="bg1"/>
              </a:solidFill>
              <a:latin typeface="Aptos Narrow"/>
              <a:cs typeface="Arial" panose="020B0604020202020204" pitchFamily="34" charset="0"/>
            </a:rPr>
            <a:pPr algn="ctr"/>
            <a:t>33</a:t>
          </a:fld>
          <a:endParaRPr lang="en-IN" sz="2000" b="1">
            <a:solidFill>
              <a:schemeClr val="bg1"/>
            </a:solidFill>
            <a:latin typeface="Arial" panose="020B0604020202020204" pitchFamily="34" charset="0"/>
            <a:cs typeface="Arial" panose="020B0604020202020204" pitchFamily="34" charset="0"/>
          </a:endParaRPr>
        </a:p>
      </xdr:txBody>
    </xdr:sp>
    <xdr:clientData/>
  </xdr:oneCellAnchor>
  <xdr:oneCellAnchor>
    <xdr:from>
      <xdr:col>7</xdr:col>
      <xdr:colOff>626267</xdr:colOff>
      <xdr:row>4</xdr:row>
      <xdr:rowOff>95249</xdr:rowOff>
    </xdr:from>
    <xdr:ext cx="1514475" cy="371475"/>
    <xdr:sp macro="" textlink="Analysis!B12">
      <xdr:nvSpPr>
        <xdr:cNvPr id="17" name="TextBox 16">
          <a:extLst>
            <a:ext uri="{FF2B5EF4-FFF2-40B4-BE49-F238E27FC236}">
              <a16:creationId xmlns:a16="http://schemas.microsoft.com/office/drawing/2014/main" id="{EBA90ABE-1EF3-60DB-9960-90D534EBB7F9}"/>
            </a:ext>
          </a:extLst>
        </xdr:cNvPr>
        <xdr:cNvSpPr txBox="1"/>
      </xdr:nvSpPr>
      <xdr:spPr>
        <a:xfrm>
          <a:off x="5160167" y="819149"/>
          <a:ext cx="1514475"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F1D71951-D5B0-4DC9-8B8D-E96A297645B8}" type="TxLink">
            <a:rPr lang="en-US" sz="1400" b="1" i="0" u="none" strike="noStrike">
              <a:solidFill>
                <a:schemeClr val="bg1"/>
              </a:solidFill>
              <a:latin typeface="Aptos Narrow"/>
              <a:cs typeface="Arial" panose="020B0604020202020204" pitchFamily="34" charset="0"/>
            </a:rPr>
            <a:pPr algn="ctr"/>
            <a:t>East-West Express</a:t>
          </a:fld>
          <a:endParaRPr lang="en-IN" sz="1800" b="1">
            <a:solidFill>
              <a:schemeClr val="bg1"/>
            </a:solidFill>
            <a:latin typeface="Arial" panose="020B0604020202020204" pitchFamily="34" charset="0"/>
            <a:cs typeface="Arial" panose="020B0604020202020204" pitchFamily="34" charset="0"/>
          </a:endParaRPr>
        </a:p>
      </xdr:txBody>
    </xdr:sp>
    <xdr:clientData/>
  </xdr:oneCellAnchor>
  <xdr:oneCellAnchor>
    <xdr:from>
      <xdr:col>10</xdr:col>
      <xdr:colOff>533398</xdr:colOff>
      <xdr:row>4</xdr:row>
      <xdr:rowOff>95249</xdr:rowOff>
    </xdr:from>
    <xdr:ext cx="1514475" cy="371475"/>
    <xdr:sp macro="" textlink="Analysis!B15">
      <xdr:nvSpPr>
        <xdr:cNvPr id="18" name="TextBox 17">
          <a:extLst>
            <a:ext uri="{FF2B5EF4-FFF2-40B4-BE49-F238E27FC236}">
              <a16:creationId xmlns:a16="http://schemas.microsoft.com/office/drawing/2014/main" id="{F8878054-5912-216C-9CCC-11A73AEC1E17}"/>
            </a:ext>
          </a:extLst>
        </xdr:cNvPr>
        <xdr:cNvSpPr txBox="1"/>
      </xdr:nvSpPr>
      <xdr:spPr>
        <a:xfrm>
          <a:off x="7010398" y="819149"/>
          <a:ext cx="1514475"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3A87B0C5-0114-4195-9C56-7417D4BD36D3}" type="TxLink">
            <a:rPr lang="en-US" sz="1400" b="1" i="0" u="none" strike="noStrike">
              <a:solidFill>
                <a:schemeClr val="bg1"/>
              </a:solidFill>
              <a:latin typeface="Aptos Narrow"/>
              <a:cs typeface="Arial" panose="020B0604020202020204" pitchFamily="34" charset="0"/>
            </a:rPr>
            <a:pPr algn="ctr"/>
            <a:t>South Line</a:t>
          </a:fld>
          <a:endParaRPr lang="en-IN" sz="1800" b="1">
            <a:solidFill>
              <a:schemeClr val="bg1"/>
            </a:solidFill>
            <a:latin typeface="Arial" panose="020B0604020202020204" pitchFamily="34" charset="0"/>
            <a:cs typeface="Arial" panose="020B0604020202020204" pitchFamily="34" charset="0"/>
          </a:endParaRPr>
        </a:p>
      </xdr:txBody>
    </xdr:sp>
    <xdr:clientData/>
  </xdr:oneCellAnchor>
  <xdr:twoCellAnchor>
    <xdr:from>
      <xdr:col>2</xdr:col>
      <xdr:colOff>90487</xdr:colOff>
      <xdr:row>4</xdr:row>
      <xdr:rowOff>76200</xdr:rowOff>
    </xdr:from>
    <xdr:to>
      <xdr:col>13</xdr:col>
      <xdr:colOff>266700</xdr:colOff>
      <xdr:row>4</xdr:row>
      <xdr:rowOff>85725</xdr:rowOff>
    </xdr:to>
    <xdr:cxnSp macro="">
      <xdr:nvCxnSpPr>
        <xdr:cNvPr id="20" name="Straight Connector 19">
          <a:extLst>
            <a:ext uri="{FF2B5EF4-FFF2-40B4-BE49-F238E27FC236}">
              <a16:creationId xmlns:a16="http://schemas.microsoft.com/office/drawing/2014/main" id="{A3787501-C894-ED85-EE9C-C9D861E047A7}"/>
            </a:ext>
          </a:extLst>
        </xdr:cNvPr>
        <xdr:cNvCxnSpPr/>
      </xdr:nvCxnSpPr>
      <xdr:spPr>
        <a:xfrm flipV="1">
          <a:off x="1385887" y="800100"/>
          <a:ext cx="7300913" cy="9525"/>
        </a:xfrm>
        <a:prstGeom prst="line">
          <a:avLst/>
        </a:prstGeom>
        <a:ln w="15875">
          <a:solidFill>
            <a:schemeClr val="bg2">
              <a:lumMod val="75000"/>
            </a:schemeClr>
          </a:solidFill>
        </a:ln>
        <a:effectLst>
          <a:outerShdw blurRad="50800" dist="38100" dir="16200000" rotWithShape="0">
            <a:prstClr val="black">
              <a:alpha val="40000"/>
            </a:prstClr>
          </a:outerShd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152399</xdr:colOff>
      <xdr:row>4</xdr:row>
      <xdr:rowOff>9526</xdr:rowOff>
    </xdr:from>
    <xdr:to>
      <xdr:col>3</xdr:col>
      <xdr:colOff>276225</xdr:colOff>
      <xdr:row>4</xdr:row>
      <xdr:rowOff>171451</xdr:rowOff>
    </xdr:to>
    <xdr:sp macro="" textlink="">
      <xdr:nvSpPr>
        <xdr:cNvPr id="23" name="Flowchart: Sort 22">
          <a:extLst>
            <a:ext uri="{FF2B5EF4-FFF2-40B4-BE49-F238E27FC236}">
              <a16:creationId xmlns:a16="http://schemas.microsoft.com/office/drawing/2014/main" id="{9C53B314-828A-01DE-537E-D22CE1C9D65C}"/>
            </a:ext>
          </a:extLst>
        </xdr:cNvPr>
        <xdr:cNvSpPr/>
      </xdr:nvSpPr>
      <xdr:spPr>
        <a:xfrm>
          <a:off x="2095499" y="733426"/>
          <a:ext cx="123826" cy="161925"/>
        </a:xfrm>
        <a:prstGeom prst="flowChartSort">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95249</xdr:colOff>
      <xdr:row>4</xdr:row>
      <xdr:rowOff>9526</xdr:rowOff>
    </xdr:from>
    <xdr:to>
      <xdr:col>6</xdr:col>
      <xdr:colOff>219075</xdr:colOff>
      <xdr:row>4</xdr:row>
      <xdr:rowOff>171451</xdr:rowOff>
    </xdr:to>
    <xdr:sp macro="" textlink="">
      <xdr:nvSpPr>
        <xdr:cNvPr id="24" name="Flowchart: Sort 23">
          <a:extLst>
            <a:ext uri="{FF2B5EF4-FFF2-40B4-BE49-F238E27FC236}">
              <a16:creationId xmlns:a16="http://schemas.microsoft.com/office/drawing/2014/main" id="{7D1C274B-5BFD-BD6D-A076-D09300A2FFE4}"/>
            </a:ext>
          </a:extLst>
        </xdr:cNvPr>
        <xdr:cNvSpPr/>
      </xdr:nvSpPr>
      <xdr:spPr>
        <a:xfrm>
          <a:off x="3981449" y="733426"/>
          <a:ext cx="123826" cy="161925"/>
        </a:xfrm>
        <a:prstGeom prst="flowChartSort">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42862</xdr:colOff>
      <xdr:row>4</xdr:row>
      <xdr:rowOff>9526</xdr:rowOff>
    </xdr:from>
    <xdr:to>
      <xdr:col>9</xdr:col>
      <xdr:colOff>166688</xdr:colOff>
      <xdr:row>4</xdr:row>
      <xdr:rowOff>171451</xdr:rowOff>
    </xdr:to>
    <xdr:sp macro="" textlink="">
      <xdr:nvSpPr>
        <xdr:cNvPr id="25" name="Flowchart: Sort 24">
          <a:extLst>
            <a:ext uri="{FF2B5EF4-FFF2-40B4-BE49-F238E27FC236}">
              <a16:creationId xmlns:a16="http://schemas.microsoft.com/office/drawing/2014/main" id="{CD67C8F4-0053-F386-CE65-755782884B29}"/>
            </a:ext>
          </a:extLst>
        </xdr:cNvPr>
        <xdr:cNvSpPr/>
      </xdr:nvSpPr>
      <xdr:spPr>
        <a:xfrm>
          <a:off x="5872162" y="733426"/>
          <a:ext cx="123826" cy="161925"/>
        </a:xfrm>
        <a:prstGeom prst="flowChartSort">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638175</xdr:colOff>
      <xdr:row>4</xdr:row>
      <xdr:rowOff>9526</xdr:rowOff>
    </xdr:from>
    <xdr:to>
      <xdr:col>12</xdr:col>
      <xdr:colOff>114301</xdr:colOff>
      <xdr:row>4</xdr:row>
      <xdr:rowOff>171451</xdr:rowOff>
    </xdr:to>
    <xdr:sp macro="" textlink="">
      <xdr:nvSpPr>
        <xdr:cNvPr id="26" name="Flowchart: Sort 25">
          <a:extLst>
            <a:ext uri="{FF2B5EF4-FFF2-40B4-BE49-F238E27FC236}">
              <a16:creationId xmlns:a16="http://schemas.microsoft.com/office/drawing/2014/main" id="{5AD2A6F2-0FE7-273B-C906-0C2C91541EB8}"/>
            </a:ext>
          </a:extLst>
        </xdr:cNvPr>
        <xdr:cNvSpPr/>
      </xdr:nvSpPr>
      <xdr:spPr>
        <a:xfrm>
          <a:off x="7762875" y="733426"/>
          <a:ext cx="123826" cy="161925"/>
        </a:xfrm>
        <a:prstGeom prst="flowChartSort">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557210</xdr:colOff>
      <xdr:row>8</xdr:row>
      <xdr:rowOff>114302</xdr:rowOff>
    </xdr:from>
    <xdr:to>
      <xdr:col>8</xdr:col>
      <xdr:colOff>628651</xdr:colOff>
      <xdr:row>26</xdr:row>
      <xdr:rowOff>28575</xdr:rowOff>
    </xdr:to>
    <xdr:grpSp>
      <xdr:nvGrpSpPr>
        <xdr:cNvPr id="30" name="Group 29">
          <a:extLst>
            <a:ext uri="{FF2B5EF4-FFF2-40B4-BE49-F238E27FC236}">
              <a16:creationId xmlns:a16="http://schemas.microsoft.com/office/drawing/2014/main" id="{C3190711-3248-B78B-B56D-86F785F1D7F4}"/>
            </a:ext>
          </a:extLst>
        </xdr:cNvPr>
        <xdr:cNvGrpSpPr/>
      </xdr:nvGrpSpPr>
      <xdr:grpSpPr>
        <a:xfrm>
          <a:off x="1157285" y="1562102"/>
          <a:ext cx="4243391" cy="3171823"/>
          <a:chOff x="1176335" y="1547815"/>
          <a:chExt cx="4605341" cy="3171823"/>
        </a:xfrm>
      </xdr:grpSpPr>
      <xdr:sp macro="" textlink="">
        <xdr:nvSpPr>
          <xdr:cNvPr id="29" name="Rectangle: Rounded Corners 28">
            <a:extLst>
              <a:ext uri="{FF2B5EF4-FFF2-40B4-BE49-F238E27FC236}">
                <a16:creationId xmlns:a16="http://schemas.microsoft.com/office/drawing/2014/main" id="{EB6F08E0-8383-5FA3-A787-45AA06663BE1}"/>
              </a:ext>
            </a:extLst>
          </xdr:cNvPr>
          <xdr:cNvSpPr/>
        </xdr:nvSpPr>
        <xdr:spPr>
          <a:xfrm>
            <a:off x="1195385" y="1547815"/>
            <a:ext cx="4586291" cy="3162298"/>
          </a:xfrm>
          <a:prstGeom prst="roundRect">
            <a:avLst>
              <a:gd name="adj" fmla="val 6269"/>
            </a:avLst>
          </a:prstGeom>
          <a:solidFill>
            <a:schemeClr val="tx1">
              <a:lumMod val="65000"/>
              <a:lumOff val="3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7" name="Rectangle: Rounded Corners 26">
            <a:extLst>
              <a:ext uri="{FF2B5EF4-FFF2-40B4-BE49-F238E27FC236}">
                <a16:creationId xmlns:a16="http://schemas.microsoft.com/office/drawing/2014/main" id="{4D974EDD-2AB9-BCC0-670E-0838CBF448E7}"/>
              </a:ext>
            </a:extLst>
          </xdr:cNvPr>
          <xdr:cNvSpPr/>
        </xdr:nvSpPr>
        <xdr:spPr>
          <a:xfrm>
            <a:off x="1176335" y="1562102"/>
            <a:ext cx="4586291" cy="3157536"/>
          </a:xfrm>
          <a:prstGeom prst="roundRect">
            <a:avLst>
              <a:gd name="adj" fmla="val 6269"/>
            </a:avLst>
          </a:prstGeom>
          <a:solidFill>
            <a:schemeClr val="tx1">
              <a:lumMod val="95000"/>
              <a:lumOff val="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oneCellAnchor>
    <xdr:from>
      <xdr:col>1</xdr:col>
      <xdr:colOff>585787</xdr:colOff>
      <xdr:row>9</xdr:row>
      <xdr:rowOff>14287</xdr:rowOff>
    </xdr:from>
    <xdr:ext cx="4100513" cy="371475"/>
    <xdr:sp macro="" textlink="">
      <xdr:nvSpPr>
        <xdr:cNvPr id="31" name="TextBox 30">
          <a:extLst>
            <a:ext uri="{FF2B5EF4-FFF2-40B4-BE49-F238E27FC236}">
              <a16:creationId xmlns:a16="http://schemas.microsoft.com/office/drawing/2014/main" id="{2B2EE38B-730C-9FC8-0107-9B60ABF35ACB}"/>
            </a:ext>
          </a:extLst>
        </xdr:cNvPr>
        <xdr:cNvSpPr txBox="1"/>
      </xdr:nvSpPr>
      <xdr:spPr>
        <a:xfrm>
          <a:off x="1233487" y="1643062"/>
          <a:ext cx="4100513"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Bus</a:t>
          </a:r>
          <a:r>
            <a:rPr lang="en-IN" sz="1200" b="1" baseline="0">
              <a:solidFill>
                <a:schemeClr val="bg1"/>
              </a:solidFill>
              <a:latin typeface="Arial" panose="020B0604020202020204" pitchFamily="34" charset="0"/>
              <a:cs typeface="Arial" panose="020B0604020202020204" pitchFamily="34" charset="0"/>
            </a:rPr>
            <a:t> Utilization By tIme Range </a:t>
          </a:r>
          <a:r>
            <a:rPr lang="en-IN" sz="1050" b="0" baseline="0">
              <a:solidFill>
                <a:schemeClr val="bg1"/>
              </a:solidFill>
              <a:latin typeface="Arial" panose="020B0604020202020204" pitchFamily="34" charset="0"/>
              <a:cs typeface="Arial" panose="020B0604020202020204" pitchFamily="34" charset="0"/>
            </a:rPr>
            <a:t>(Total Passangers By time)</a:t>
          </a:r>
          <a:endParaRPr lang="en-IN" sz="1200" b="0" baseline="0">
            <a:solidFill>
              <a:schemeClr val="bg1"/>
            </a:solidFill>
            <a:latin typeface="Arial" panose="020B0604020202020204" pitchFamily="34" charset="0"/>
            <a:cs typeface="Arial" panose="020B0604020202020204" pitchFamily="34" charset="0"/>
          </a:endParaRPr>
        </a:p>
      </xdr:txBody>
    </xdr:sp>
    <xdr:clientData/>
  </xdr:oneCellAnchor>
  <xdr:twoCellAnchor>
    <xdr:from>
      <xdr:col>1</xdr:col>
      <xdr:colOff>633414</xdr:colOff>
      <xdr:row>11</xdr:row>
      <xdr:rowOff>33338</xdr:rowOff>
    </xdr:from>
    <xdr:to>
      <xdr:col>5</xdr:col>
      <xdr:colOff>276226</xdr:colOff>
      <xdr:row>26</xdr:row>
      <xdr:rowOff>4763</xdr:rowOff>
    </xdr:to>
    <xdr:graphicFrame macro="">
      <xdr:nvGraphicFramePr>
        <xdr:cNvPr id="32" name="Chart 31">
          <a:extLst>
            <a:ext uri="{FF2B5EF4-FFF2-40B4-BE49-F238E27FC236}">
              <a16:creationId xmlns:a16="http://schemas.microsoft.com/office/drawing/2014/main" id="{1AADEE8F-D01E-4BBD-943E-E65679B1A3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557210</xdr:colOff>
      <xdr:row>27</xdr:row>
      <xdr:rowOff>9524</xdr:rowOff>
    </xdr:from>
    <xdr:to>
      <xdr:col>8</xdr:col>
      <xdr:colOff>628651</xdr:colOff>
      <xdr:row>39</xdr:row>
      <xdr:rowOff>14287</xdr:rowOff>
    </xdr:to>
    <xdr:grpSp>
      <xdr:nvGrpSpPr>
        <xdr:cNvPr id="33" name="Group 32">
          <a:extLst>
            <a:ext uri="{FF2B5EF4-FFF2-40B4-BE49-F238E27FC236}">
              <a16:creationId xmlns:a16="http://schemas.microsoft.com/office/drawing/2014/main" id="{DAFBEA44-2E6E-C20B-D51C-2F8D46AC9FB6}"/>
            </a:ext>
          </a:extLst>
        </xdr:cNvPr>
        <xdr:cNvGrpSpPr/>
      </xdr:nvGrpSpPr>
      <xdr:grpSpPr>
        <a:xfrm>
          <a:off x="1157285" y="4895849"/>
          <a:ext cx="4243391" cy="2176463"/>
          <a:chOff x="1176335" y="1547815"/>
          <a:chExt cx="4605341" cy="3171823"/>
        </a:xfrm>
      </xdr:grpSpPr>
      <xdr:sp macro="" textlink="">
        <xdr:nvSpPr>
          <xdr:cNvPr id="34" name="Rectangle: Rounded Corners 33">
            <a:extLst>
              <a:ext uri="{FF2B5EF4-FFF2-40B4-BE49-F238E27FC236}">
                <a16:creationId xmlns:a16="http://schemas.microsoft.com/office/drawing/2014/main" id="{836F5613-A28B-2198-55EF-7E1C689474B0}"/>
              </a:ext>
            </a:extLst>
          </xdr:cNvPr>
          <xdr:cNvSpPr/>
        </xdr:nvSpPr>
        <xdr:spPr>
          <a:xfrm>
            <a:off x="1195385" y="1547815"/>
            <a:ext cx="4586291" cy="3162298"/>
          </a:xfrm>
          <a:prstGeom prst="roundRect">
            <a:avLst>
              <a:gd name="adj" fmla="val 6269"/>
            </a:avLst>
          </a:prstGeom>
          <a:solidFill>
            <a:schemeClr val="tx1">
              <a:lumMod val="65000"/>
              <a:lumOff val="3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5" name="Rectangle: Rounded Corners 34">
            <a:extLst>
              <a:ext uri="{FF2B5EF4-FFF2-40B4-BE49-F238E27FC236}">
                <a16:creationId xmlns:a16="http://schemas.microsoft.com/office/drawing/2014/main" id="{C035AFB2-1B93-1E67-951E-5B423F889D6E}"/>
              </a:ext>
            </a:extLst>
          </xdr:cNvPr>
          <xdr:cNvSpPr/>
        </xdr:nvSpPr>
        <xdr:spPr>
          <a:xfrm>
            <a:off x="1176335" y="1562102"/>
            <a:ext cx="4586291" cy="3157536"/>
          </a:xfrm>
          <a:prstGeom prst="roundRect">
            <a:avLst>
              <a:gd name="adj" fmla="val 6269"/>
            </a:avLst>
          </a:prstGeom>
          <a:solidFill>
            <a:schemeClr val="tx1">
              <a:lumMod val="95000"/>
              <a:lumOff val="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9</xdr:col>
      <xdr:colOff>204786</xdr:colOff>
      <xdr:row>8</xdr:row>
      <xdr:rowOff>114302</xdr:rowOff>
    </xdr:from>
    <xdr:to>
      <xdr:col>14</xdr:col>
      <xdr:colOff>28576</xdr:colOff>
      <xdr:row>39</xdr:row>
      <xdr:rowOff>19050</xdr:rowOff>
    </xdr:to>
    <xdr:grpSp>
      <xdr:nvGrpSpPr>
        <xdr:cNvPr id="36" name="Group 35">
          <a:extLst>
            <a:ext uri="{FF2B5EF4-FFF2-40B4-BE49-F238E27FC236}">
              <a16:creationId xmlns:a16="http://schemas.microsoft.com/office/drawing/2014/main" id="{A66EA714-F64C-FE0B-D82F-7B2178FB21A3}"/>
            </a:ext>
          </a:extLst>
        </xdr:cNvPr>
        <xdr:cNvGrpSpPr/>
      </xdr:nvGrpSpPr>
      <xdr:grpSpPr>
        <a:xfrm>
          <a:off x="5605461" y="1562102"/>
          <a:ext cx="2824165" cy="5514973"/>
          <a:chOff x="1176335" y="1547815"/>
          <a:chExt cx="4605341" cy="3171823"/>
        </a:xfrm>
      </xdr:grpSpPr>
      <xdr:sp macro="" textlink="">
        <xdr:nvSpPr>
          <xdr:cNvPr id="37" name="Rectangle: Rounded Corners 36">
            <a:extLst>
              <a:ext uri="{FF2B5EF4-FFF2-40B4-BE49-F238E27FC236}">
                <a16:creationId xmlns:a16="http://schemas.microsoft.com/office/drawing/2014/main" id="{0D6DEEB5-DBF5-FEEC-87CD-32638D023CF5}"/>
              </a:ext>
            </a:extLst>
          </xdr:cNvPr>
          <xdr:cNvSpPr/>
        </xdr:nvSpPr>
        <xdr:spPr>
          <a:xfrm>
            <a:off x="1195385" y="1547815"/>
            <a:ext cx="4586291" cy="3162298"/>
          </a:xfrm>
          <a:prstGeom prst="roundRect">
            <a:avLst>
              <a:gd name="adj" fmla="val 6269"/>
            </a:avLst>
          </a:prstGeom>
          <a:solidFill>
            <a:schemeClr val="tx1">
              <a:lumMod val="65000"/>
              <a:lumOff val="3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8" name="Rectangle: Rounded Corners 37">
            <a:extLst>
              <a:ext uri="{FF2B5EF4-FFF2-40B4-BE49-F238E27FC236}">
                <a16:creationId xmlns:a16="http://schemas.microsoft.com/office/drawing/2014/main" id="{6452943E-07CA-8BA4-88A2-45D85723981C}"/>
              </a:ext>
            </a:extLst>
          </xdr:cNvPr>
          <xdr:cNvSpPr/>
        </xdr:nvSpPr>
        <xdr:spPr>
          <a:xfrm>
            <a:off x="1176335" y="1562102"/>
            <a:ext cx="4586291" cy="3157536"/>
          </a:xfrm>
          <a:prstGeom prst="roundRect">
            <a:avLst>
              <a:gd name="adj" fmla="val 6269"/>
            </a:avLst>
          </a:prstGeom>
          <a:solidFill>
            <a:schemeClr val="tx1">
              <a:lumMod val="95000"/>
              <a:lumOff val="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14</xdr:col>
      <xdr:colOff>314322</xdr:colOff>
      <xdr:row>2</xdr:row>
      <xdr:rowOff>47627</xdr:rowOff>
    </xdr:from>
    <xdr:to>
      <xdr:col>20</xdr:col>
      <xdr:colOff>395287</xdr:colOff>
      <xdr:row>39</xdr:row>
      <xdr:rowOff>19050</xdr:rowOff>
    </xdr:to>
    <xdr:grpSp>
      <xdr:nvGrpSpPr>
        <xdr:cNvPr id="39" name="Group 38">
          <a:extLst>
            <a:ext uri="{FF2B5EF4-FFF2-40B4-BE49-F238E27FC236}">
              <a16:creationId xmlns:a16="http://schemas.microsoft.com/office/drawing/2014/main" id="{35490652-2B5A-34F2-0CFA-33590923BDD2}"/>
            </a:ext>
          </a:extLst>
        </xdr:cNvPr>
        <xdr:cNvGrpSpPr/>
      </xdr:nvGrpSpPr>
      <xdr:grpSpPr>
        <a:xfrm>
          <a:off x="8715372" y="409577"/>
          <a:ext cx="3681415" cy="6667498"/>
          <a:chOff x="1176335" y="1547815"/>
          <a:chExt cx="4605341" cy="3171823"/>
        </a:xfrm>
      </xdr:grpSpPr>
      <xdr:sp macro="" textlink="">
        <xdr:nvSpPr>
          <xdr:cNvPr id="40" name="Rectangle: Rounded Corners 39">
            <a:extLst>
              <a:ext uri="{FF2B5EF4-FFF2-40B4-BE49-F238E27FC236}">
                <a16:creationId xmlns:a16="http://schemas.microsoft.com/office/drawing/2014/main" id="{A87DB8E6-528E-320B-B62E-2E4D7935EA17}"/>
              </a:ext>
            </a:extLst>
          </xdr:cNvPr>
          <xdr:cNvSpPr/>
        </xdr:nvSpPr>
        <xdr:spPr>
          <a:xfrm>
            <a:off x="1195385" y="1547815"/>
            <a:ext cx="4586291" cy="3162298"/>
          </a:xfrm>
          <a:prstGeom prst="roundRect">
            <a:avLst>
              <a:gd name="adj" fmla="val 6269"/>
            </a:avLst>
          </a:prstGeom>
          <a:solidFill>
            <a:schemeClr val="tx1">
              <a:lumMod val="65000"/>
              <a:lumOff val="3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1" name="Rectangle: Rounded Corners 40">
            <a:extLst>
              <a:ext uri="{FF2B5EF4-FFF2-40B4-BE49-F238E27FC236}">
                <a16:creationId xmlns:a16="http://schemas.microsoft.com/office/drawing/2014/main" id="{D0C28D1C-7F0C-E088-19EA-B716422F4676}"/>
              </a:ext>
            </a:extLst>
          </xdr:cNvPr>
          <xdr:cNvSpPr/>
        </xdr:nvSpPr>
        <xdr:spPr>
          <a:xfrm>
            <a:off x="1176335" y="1562102"/>
            <a:ext cx="4586291" cy="3157536"/>
          </a:xfrm>
          <a:prstGeom prst="roundRect">
            <a:avLst>
              <a:gd name="adj" fmla="val 6269"/>
            </a:avLst>
          </a:prstGeom>
          <a:solidFill>
            <a:schemeClr val="tx1">
              <a:lumMod val="95000"/>
              <a:lumOff val="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oneCellAnchor>
    <xdr:from>
      <xdr:col>5</xdr:col>
      <xdr:colOff>476250</xdr:colOff>
      <xdr:row>14</xdr:row>
      <xdr:rowOff>161925</xdr:rowOff>
    </xdr:from>
    <xdr:ext cx="1895475" cy="371475"/>
    <xdr:sp macro="" textlink="">
      <xdr:nvSpPr>
        <xdr:cNvPr id="42" name="TextBox 41">
          <a:extLst>
            <a:ext uri="{FF2B5EF4-FFF2-40B4-BE49-F238E27FC236}">
              <a16:creationId xmlns:a16="http://schemas.microsoft.com/office/drawing/2014/main" id="{69625D6F-1C9E-468E-7D98-AAD1A4450715}"/>
            </a:ext>
          </a:extLst>
        </xdr:cNvPr>
        <xdr:cNvSpPr txBox="1"/>
      </xdr:nvSpPr>
      <xdr:spPr>
        <a:xfrm>
          <a:off x="3714750" y="2695575"/>
          <a:ext cx="1895475"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Peak Hours Of Operation</a:t>
          </a:r>
        </a:p>
      </xdr:txBody>
    </xdr:sp>
    <xdr:clientData/>
  </xdr:oneCellAnchor>
  <xdr:oneCellAnchor>
    <xdr:from>
      <xdr:col>5</xdr:col>
      <xdr:colOff>361950</xdr:colOff>
      <xdr:row>21</xdr:row>
      <xdr:rowOff>14287</xdr:rowOff>
    </xdr:from>
    <xdr:ext cx="2124075" cy="371475"/>
    <xdr:sp macro="" textlink="">
      <xdr:nvSpPr>
        <xdr:cNvPr id="43" name="TextBox 42">
          <a:extLst>
            <a:ext uri="{FF2B5EF4-FFF2-40B4-BE49-F238E27FC236}">
              <a16:creationId xmlns:a16="http://schemas.microsoft.com/office/drawing/2014/main" id="{8B222BE8-5891-E421-29A6-7AE1D21D283F}"/>
            </a:ext>
          </a:extLst>
        </xdr:cNvPr>
        <xdr:cNvSpPr txBox="1"/>
      </xdr:nvSpPr>
      <xdr:spPr>
        <a:xfrm>
          <a:off x="3600450" y="3814762"/>
          <a:ext cx="2124075"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Off-Peak Hours Of Operation</a:t>
          </a:r>
        </a:p>
      </xdr:txBody>
    </xdr:sp>
    <xdr:clientData/>
  </xdr:oneCellAnchor>
  <xdr:oneCellAnchor>
    <xdr:from>
      <xdr:col>5</xdr:col>
      <xdr:colOff>476250</xdr:colOff>
      <xdr:row>16</xdr:row>
      <xdr:rowOff>33337</xdr:rowOff>
    </xdr:from>
    <xdr:ext cx="1895475" cy="371475"/>
    <xdr:sp macro="" textlink="Analysis!G13">
      <xdr:nvSpPr>
        <xdr:cNvPr id="44" name="TextBox 43">
          <a:extLst>
            <a:ext uri="{FF2B5EF4-FFF2-40B4-BE49-F238E27FC236}">
              <a16:creationId xmlns:a16="http://schemas.microsoft.com/office/drawing/2014/main" id="{F098FF79-EB45-BB48-E45B-C9FD387888FB}"/>
            </a:ext>
          </a:extLst>
        </xdr:cNvPr>
        <xdr:cNvSpPr txBox="1"/>
      </xdr:nvSpPr>
      <xdr:spPr>
        <a:xfrm>
          <a:off x="3714750" y="2928937"/>
          <a:ext cx="1895475"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17374788-EB87-4FF5-BC5A-C6A96D89AA31}" type="TxLink">
            <a:rPr lang="en-US" sz="1400" b="1" i="0" u="none" strike="noStrike">
              <a:solidFill>
                <a:schemeClr val="bg2"/>
              </a:solidFill>
              <a:latin typeface="Aptos Narrow"/>
              <a:cs typeface="Arial" panose="020B0604020202020204" pitchFamily="34" charset="0"/>
            </a:rPr>
            <a:pPr algn="ctr"/>
            <a:t>8:57:00 PM</a:t>
          </a:fld>
          <a:endParaRPr lang="en-IN" sz="1600" b="1">
            <a:solidFill>
              <a:schemeClr val="bg2"/>
            </a:solidFill>
            <a:latin typeface="Arial" panose="020B0604020202020204" pitchFamily="34" charset="0"/>
            <a:cs typeface="Arial" panose="020B0604020202020204" pitchFamily="34" charset="0"/>
          </a:endParaRPr>
        </a:p>
      </xdr:txBody>
    </xdr:sp>
    <xdr:clientData/>
  </xdr:oneCellAnchor>
  <xdr:oneCellAnchor>
    <xdr:from>
      <xdr:col>5</xdr:col>
      <xdr:colOff>476250</xdr:colOff>
      <xdr:row>22</xdr:row>
      <xdr:rowOff>52387</xdr:rowOff>
    </xdr:from>
    <xdr:ext cx="1895475" cy="371475"/>
    <xdr:sp macro="" textlink="Analysis!G17">
      <xdr:nvSpPr>
        <xdr:cNvPr id="45" name="TextBox 44">
          <a:extLst>
            <a:ext uri="{FF2B5EF4-FFF2-40B4-BE49-F238E27FC236}">
              <a16:creationId xmlns:a16="http://schemas.microsoft.com/office/drawing/2014/main" id="{3581C844-7315-F3B5-91AB-70D0F50AACE4}"/>
            </a:ext>
          </a:extLst>
        </xdr:cNvPr>
        <xdr:cNvSpPr txBox="1"/>
      </xdr:nvSpPr>
      <xdr:spPr>
        <a:xfrm>
          <a:off x="3714750" y="4033837"/>
          <a:ext cx="1895475"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F252035E-C81E-439B-BBCB-2C7C126D8A59}" type="TxLink">
            <a:rPr lang="en-US" sz="1400" b="1" i="0" u="none" strike="noStrike">
              <a:solidFill>
                <a:schemeClr val="bg2"/>
              </a:solidFill>
              <a:latin typeface="Aptos Narrow"/>
              <a:ea typeface="+mn-ea"/>
              <a:cs typeface="Arial" panose="020B0604020202020204" pitchFamily="34" charset="0"/>
            </a:rPr>
            <a:pPr marL="0" indent="0" algn="ctr"/>
            <a:t>7:50:00 PM</a:t>
          </a:fld>
          <a:endParaRPr lang="en-IN" sz="1400" b="1" i="0" u="none" strike="noStrike">
            <a:solidFill>
              <a:schemeClr val="bg2"/>
            </a:solidFill>
            <a:latin typeface="Aptos Narrow"/>
            <a:ea typeface="+mn-ea"/>
            <a:cs typeface="Arial" panose="020B0604020202020204" pitchFamily="34" charset="0"/>
          </a:endParaRPr>
        </a:p>
      </xdr:txBody>
    </xdr:sp>
    <xdr:clientData/>
  </xdr:oneCellAnchor>
  <xdr:twoCellAnchor editAs="oneCell">
    <xdr:from>
      <xdr:col>6</xdr:col>
      <xdr:colOff>562375</xdr:colOff>
      <xdr:row>12</xdr:row>
      <xdr:rowOff>103368</xdr:rowOff>
    </xdr:from>
    <xdr:to>
      <xdr:col>7</xdr:col>
      <xdr:colOff>342499</xdr:colOff>
      <xdr:row>14</xdr:row>
      <xdr:rowOff>169242</xdr:rowOff>
    </xdr:to>
    <xdr:pic>
      <xdr:nvPicPr>
        <xdr:cNvPr id="47" name="Picture 46">
          <a:extLst>
            <a:ext uri="{FF2B5EF4-FFF2-40B4-BE49-F238E27FC236}">
              <a16:creationId xmlns:a16="http://schemas.microsoft.com/office/drawing/2014/main" id="{1E69F58B-59EF-C0CF-9ED7-543C9B56E547}"/>
            </a:ext>
          </a:extLst>
        </xdr:cNvPr>
        <xdr:cNvPicPr>
          <a:picLocks noChangeAspect="1"/>
        </xdr:cNvPicPr>
      </xdr:nvPicPr>
      <xdr:blipFill>
        <a:blip xmlns:r="http://schemas.openxmlformats.org/officeDocument/2006/relationships" r:embed="rId2" cstate="print">
          <a:alphaModFix/>
          <a:lum bright="70000" contrast="-70000"/>
          <a:extLst>
            <a:ext uri="{28A0092B-C50C-407E-A947-70E740481C1C}">
              <a14:useLocalDpi xmlns:a14="http://schemas.microsoft.com/office/drawing/2010/main" val="0"/>
            </a:ext>
          </a:extLst>
        </a:blip>
        <a:stretch>
          <a:fillRect/>
        </a:stretch>
      </xdr:blipFill>
      <xdr:spPr>
        <a:xfrm>
          <a:off x="4448575" y="2275068"/>
          <a:ext cx="427824" cy="427824"/>
        </a:xfrm>
        <a:prstGeom prst="rect">
          <a:avLst/>
        </a:prstGeom>
        <a:noFill/>
      </xdr:spPr>
    </xdr:pic>
    <xdr:clientData/>
  </xdr:twoCellAnchor>
  <xdr:twoCellAnchor editAs="oneCell">
    <xdr:from>
      <xdr:col>6</xdr:col>
      <xdr:colOff>533058</xdr:colOff>
      <xdr:row>18</xdr:row>
      <xdr:rowOff>161925</xdr:rowOff>
    </xdr:from>
    <xdr:to>
      <xdr:col>7</xdr:col>
      <xdr:colOff>371817</xdr:colOff>
      <xdr:row>21</xdr:row>
      <xdr:rowOff>105459</xdr:rowOff>
    </xdr:to>
    <xdr:pic>
      <xdr:nvPicPr>
        <xdr:cNvPr id="49" name="Picture 48">
          <a:extLst>
            <a:ext uri="{FF2B5EF4-FFF2-40B4-BE49-F238E27FC236}">
              <a16:creationId xmlns:a16="http://schemas.microsoft.com/office/drawing/2014/main" id="{83DA475F-C32A-3F07-1C2B-E4C3E9A59AF7}"/>
            </a:ext>
          </a:extLst>
        </xdr:cNvPr>
        <xdr:cNvPicPr>
          <a:picLocks noChangeAspect="1"/>
        </xdr:cNvPicPr>
      </xdr:nvPicPr>
      <xdr:blipFill>
        <a:blip xmlns:r="http://schemas.openxmlformats.org/officeDocument/2006/relationships" r:embed="rId3" cstate="print">
          <a:alphaModFix/>
          <a:lum bright="70000" contrast="-70000"/>
          <a:extLst>
            <a:ext uri="{28A0092B-C50C-407E-A947-70E740481C1C}">
              <a14:useLocalDpi xmlns:a14="http://schemas.microsoft.com/office/drawing/2010/main" val="0"/>
            </a:ext>
          </a:extLst>
        </a:blip>
        <a:stretch>
          <a:fillRect/>
        </a:stretch>
      </xdr:blipFill>
      <xdr:spPr>
        <a:xfrm>
          <a:off x="4419258" y="3419475"/>
          <a:ext cx="486459" cy="486459"/>
        </a:xfrm>
        <a:prstGeom prst="rect">
          <a:avLst/>
        </a:prstGeom>
        <a:noFill/>
      </xdr:spPr>
    </xdr:pic>
    <xdr:clientData/>
  </xdr:twoCellAnchor>
  <xdr:twoCellAnchor>
    <xdr:from>
      <xdr:col>1</xdr:col>
      <xdr:colOff>561978</xdr:colOff>
      <xdr:row>29</xdr:row>
      <xdr:rowOff>42862</xdr:rowOff>
    </xdr:from>
    <xdr:to>
      <xdr:col>5</xdr:col>
      <xdr:colOff>581026</xdr:colOff>
      <xdr:row>38</xdr:row>
      <xdr:rowOff>180974</xdr:rowOff>
    </xdr:to>
    <xdr:graphicFrame macro="">
      <xdr:nvGraphicFramePr>
        <xdr:cNvPr id="51" name="Chart 50">
          <a:extLst>
            <a:ext uri="{FF2B5EF4-FFF2-40B4-BE49-F238E27FC236}">
              <a16:creationId xmlns:a16="http://schemas.microsoft.com/office/drawing/2014/main" id="{586C0159-AC56-4DC0-9A51-1F2F217225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547687</xdr:colOff>
      <xdr:row>27</xdr:row>
      <xdr:rowOff>28574</xdr:rowOff>
    </xdr:from>
    <xdr:ext cx="2590801" cy="371475"/>
    <xdr:sp macro="" textlink="">
      <xdr:nvSpPr>
        <xdr:cNvPr id="52" name="TextBox 51">
          <a:extLst>
            <a:ext uri="{FF2B5EF4-FFF2-40B4-BE49-F238E27FC236}">
              <a16:creationId xmlns:a16="http://schemas.microsoft.com/office/drawing/2014/main" id="{344A9B0E-D452-A1A8-0962-96F01B6B3DC9}"/>
            </a:ext>
          </a:extLst>
        </xdr:cNvPr>
        <xdr:cNvSpPr txBox="1"/>
      </xdr:nvSpPr>
      <xdr:spPr>
        <a:xfrm>
          <a:off x="1195387" y="4914899"/>
          <a:ext cx="2590801"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Total Riders</a:t>
          </a:r>
          <a:r>
            <a:rPr lang="en-IN" sz="1200" b="1" baseline="0">
              <a:solidFill>
                <a:schemeClr val="bg1"/>
              </a:solidFill>
              <a:latin typeface="Arial" panose="020B0604020202020204" pitchFamily="34" charset="0"/>
              <a:cs typeface="Arial" panose="020B0604020202020204" pitchFamily="34" charset="0"/>
            </a:rPr>
            <a:t> Yearly Distribution</a:t>
          </a:r>
          <a:endParaRPr lang="en-IN" sz="1200" b="0" baseline="0">
            <a:solidFill>
              <a:schemeClr val="bg1"/>
            </a:solidFill>
            <a:latin typeface="Arial" panose="020B0604020202020204" pitchFamily="34" charset="0"/>
            <a:cs typeface="Arial" panose="020B0604020202020204" pitchFamily="34" charset="0"/>
          </a:endParaRPr>
        </a:p>
      </xdr:txBody>
    </xdr:sp>
    <xdr:clientData/>
  </xdr:oneCellAnchor>
  <xdr:oneCellAnchor>
    <xdr:from>
      <xdr:col>6</xdr:col>
      <xdr:colOff>623887</xdr:colOff>
      <xdr:row>28</xdr:row>
      <xdr:rowOff>76200</xdr:rowOff>
    </xdr:from>
    <xdr:ext cx="904876" cy="371475"/>
    <xdr:sp macro="" textlink="">
      <xdr:nvSpPr>
        <xdr:cNvPr id="53" name="TextBox 52">
          <a:extLst>
            <a:ext uri="{FF2B5EF4-FFF2-40B4-BE49-F238E27FC236}">
              <a16:creationId xmlns:a16="http://schemas.microsoft.com/office/drawing/2014/main" id="{13D3FE82-58EA-3F61-D604-7C385E1DD1F8}"/>
            </a:ext>
          </a:extLst>
        </xdr:cNvPr>
        <xdr:cNvSpPr txBox="1"/>
      </xdr:nvSpPr>
      <xdr:spPr>
        <a:xfrm>
          <a:off x="4510087" y="5143500"/>
          <a:ext cx="904876"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baseline="0">
              <a:solidFill>
                <a:schemeClr val="bg1"/>
              </a:solidFill>
              <a:latin typeface="Arial" panose="020B0604020202020204" pitchFamily="34" charset="0"/>
              <a:cs typeface="Arial" panose="020B0604020202020204" pitchFamily="34" charset="0"/>
            </a:rPr>
            <a:t>YoY change</a:t>
          </a:r>
          <a:endParaRPr lang="en-IN" sz="1200" b="0" baseline="0">
            <a:solidFill>
              <a:schemeClr val="bg1"/>
            </a:solidFill>
            <a:latin typeface="Arial" panose="020B0604020202020204" pitchFamily="34" charset="0"/>
            <a:cs typeface="Arial" panose="020B0604020202020204" pitchFamily="34" charset="0"/>
          </a:endParaRPr>
        </a:p>
      </xdr:txBody>
    </xdr:sp>
    <xdr:clientData/>
  </xdr:oneCellAnchor>
  <xdr:oneCellAnchor>
    <xdr:from>
      <xdr:col>6</xdr:col>
      <xdr:colOff>623887</xdr:colOff>
      <xdr:row>29</xdr:row>
      <xdr:rowOff>138113</xdr:rowOff>
    </xdr:from>
    <xdr:ext cx="904876" cy="371475"/>
    <xdr:sp macro="" textlink="Analysis!N8">
      <xdr:nvSpPr>
        <xdr:cNvPr id="54" name="TextBox 53">
          <a:extLst>
            <a:ext uri="{FF2B5EF4-FFF2-40B4-BE49-F238E27FC236}">
              <a16:creationId xmlns:a16="http://schemas.microsoft.com/office/drawing/2014/main" id="{6B08429B-001D-C3DF-1EE7-9630255C9C12}"/>
            </a:ext>
          </a:extLst>
        </xdr:cNvPr>
        <xdr:cNvSpPr txBox="1"/>
      </xdr:nvSpPr>
      <xdr:spPr>
        <a:xfrm>
          <a:off x="4510087" y="5386388"/>
          <a:ext cx="904876"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B4482DC-BCF7-4944-BFD3-713028E87C32}" type="TxLink">
            <a:rPr lang="en-US" sz="1400" b="1" i="0" u="none" strike="noStrike" baseline="0">
              <a:solidFill>
                <a:srgbClr val="6D49F2"/>
              </a:solidFill>
              <a:latin typeface="Aptos Narrow"/>
              <a:cs typeface="Arial" panose="020B0604020202020204" pitchFamily="34" charset="0"/>
            </a:rPr>
            <a:pPr algn="ctr"/>
            <a:t>-83.50%</a:t>
          </a:fld>
          <a:endParaRPr lang="en-IN" sz="1600" b="1" baseline="0">
            <a:solidFill>
              <a:srgbClr val="6D49F2"/>
            </a:solidFill>
            <a:latin typeface="Arial" panose="020B0604020202020204" pitchFamily="34" charset="0"/>
            <a:cs typeface="Arial" panose="020B0604020202020204" pitchFamily="34" charset="0"/>
          </a:endParaRPr>
        </a:p>
      </xdr:txBody>
    </xdr:sp>
    <xdr:clientData/>
  </xdr:oneCellAnchor>
  <xdr:twoCellAnchor>
    <xdr:from>
      <xdr:col>6</xdr:col>
      <xdr:colOff>276226</xdr:colOff>
      <xdr:row>32</xdr:row>
      <xdr:rowOff>66675</xdr:rowOff>
    </xdr:from>
    <xdr:to>
      <xdr:col>8</xdr:col>
      <xdr:colOff>319088</xdr:colOff>
      <xdr:row>37</xdr:row>
      <xdr:rowOff>176212</xdr:rowOff>
    </xdr:to>
    <xdr:sp macro="" textlink="">
      <xdr:nvSpPr>
        <xdr:cNvPr id="56" name="Rectangle: Rounded Corners 55">
          <a:extLst>
            <a:ext uri="{FF2B5EF4-FFF2-40B4-BE49-F238E27FC236}">
              <a16:creationId xmlns:a16="http://schemas.microsoft.com/office/drawing/2014/main" id="{6509EEEA-E354-42F9-0FC5-F358EBFB4477}"/>
            </a:ext>
          </a:extLst>
        </xdr:cNvPr>
        <xdr:cNvSpPr/>
      </xdr:nvSpPr>
      <xdr:spPr>
        <a:xfrm>
          <a:off x="4162426" y="5857875"/>
          <a:ext cx="1338262" cy="1014412"/>
        </a:xfrm>
        <a:prstGeom prst="roundRect">
          <a:avLst/>
        </a:prstGeom>
        <a:gradFill>
          <a:gsLst>
            <a:gs pos="100000">
              <a:schemeClr val="tx1">
                <a:lumMod val="86000"/>
                <a:lumOff val="14000"/>
              </a:schemeClr>
            </a:gs>
            <a:gs pos="68000">
              <a:schemeClr val="bg2">
                <a:lumMod val="25000"/>
              </a:schemeClr>
            </a:gs>
            <a:gs pos="27000">
              <a:schemeClr val="tx1">
                <a:lumMod val="75000"/>
                <a:lumOff val="25000"/>
              </a:schemeClr>
            </a:gs>
            <a:gs pos="0">
              <a:schemeClr val="bg2">
                <a:lumMod val="15000"/>
              </a:schemeClr>
            </a:gs>
          </a:gsLst>
          <a:lin ang="162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6</xdr:col>
      <xdr:colOff>219073</xdr:colOff>
      <xdr:row>33</xdr:row>
      <xdr:rowOff>52387</xdr:rowOff>
    </xdr:from>
    <xdr:ext cx="1509713" cy="666750"/>
    <xdr:sp macro="" textlink="">
      <xdr:nvSpPr>
        <xdr:cNvPr id="55" name="TextBox 54">
          <a:extLst>
            <a:ext uri="{FF2B5EF4-FFF2-40B4-BE49-F238E27FC236}">
              <a16:creationId xmlns:a16="http://schemas.microsoft.com/office/drawing/2014/main" id="{223EE9CF-E698-2F66-37C3-76D7D5AAD02B}"/>
            </a:ext>
          </a:extLst>
        </xdr:cNvPr>
        <xdr:cNvSpPr txBox="1"/>
      </xdr:nvSpPr>
      <xdr:spPr>
        <a:xfrm>
          <a:off x="4105273" y="6024562"/>
          <a:ext cx="1509713" cy="6667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000" b="0">
              <a:solidFill>
                <a:schemeClr val="bg1"/>
              </a:solidFill>
              <a:latin typeface="Arial" panose="020B0604020202020204" pitchFamily="34" charset="0"/>
              <a:cs typeface="Arial" panose="020B0604020202020204" pitchFamily="34" charset="0"/>
            </a:rPr>
            <a:t>Yoy change </a:t>
          </a:r>
        </a:p>
        <a:p>
          <a:pPr algn="ctr"/>
          <a:r>
            <a:rPr lang="en-IN" sz="1000" b="0">
              <a:solidFill>
                <a:schemeClr val="bg1"/>
              </a:solidFill>
              <a:latin typeface="Arial" panose="020B0604020202020204" pitchFamily="34" charset="0"/>
              <a:cs typeface="Arial" panose="020B0604020202020204" pitchFamily="34" charset="0"/>
            </a:rPr>
            <a:t>suggests</a:t>
          </a:r>
          <a:r>
            <a:rPr lang="en-IN" sz="1000" b="0" baseline="0">
              <a:solidFill>
                <a:schemeClr val="bg1"/>
              </a:solidFill>
              <a:latin typeface="Arial" panose="020B0604020202020204" pitchFamily="34" charset="0"/>
              <a:cs typeface="Arial" panose="020B0604020202020204" pitchFamily="34" charset="0"/>
            </a:rPr>
            <a:t> room </a:t>
          </a:r>
        </a:p>
        <a:p>
          <a:pPr algn="ctr"/>
          <a:r>
            <a:rPr lang="en-IN" sz="1000" b="0" baseline="0">
              <a:solidFill>
                <a:schemeClr val="bg1"/>
              </a:solidFill>
              <a:latin typeface="Arial" panose="020B0604020202020204" pitchFamily="34" charset="0"/>
              <a:cs typeface="Arial" panose="020B0604020202020204" pitchFamily="34" charset="0"/>
            </a:rPr>
            <a:t>for improvement</a:t>
          </a:r>
        </a:p>
      </xdr:txBody>
    </xdr:sp>
    <xdr:clientData/>
  </xdr:oneCellAnchor>
  <xdr:twoCellAnchor>
    <xdr:from>
      <xdr:col>7</xdr:col>
      <xdr:colOff>604837</xdr:colOff>
      <xdr:row>31</xdr:row>
      <xdr:rowOff>33338</xdr:rowOff>
    </xdr:from>
    <xdr:to>
      <xdr:col>8</xdr:col>
      <xdr:colOff>433386</xdr:colOff>
      <xdr:row>33</xdr:row>
      <xdr:rowOff>147637</xdr:rowOff>
    </xdr:to>
    <xdr:sp macro="" textlink="">
      <xdr:nvSpPr>
        <xdr:cNvPr id="60" name="Oval 59">
          <a:extLst>
            <a:ext uri="{FF2B5EF4-FFF2-40B4-BE49-F238E27FC236}">
              <a16:creationId xmlns:a16="http://schemas.microsoft.com/office/drawing/2014/main" id="{0F7E8840-45E4-ED0D-6F4A-9F6CC18D00A1}"/>
            </a:ext>
          </a:extLst>
        </xdr:cNvPr>
        <xdr:cNvSpPr/>
      </xdr:nvSpPr>
      <xdr:spPr>
        <a:xfrm>
          <a:off x="5138737" y="5643563"/>
          <a:ext cx="476249" cy="476249"/>
        </a:xfrm>
        <a:prstGeom prst="ellipse">
          <a:avLst/>
        </a:prstGeom>
        <a:solidFill>
          <a:schemeClr val="tx1">
            <a:lumMod val="65000"/>
            <a:lumOff val="35000"/>
          </a:schemeClr>
        </a:solidFill>
        <a:ln>
          <a:noFill/>
        </a:ln>
        <a:effectLst>
          <a:softEdge rad="3175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8</xdr:col>
      <xdr:colOff>9523</xdr:colOff>
      <xdr:row>31</xdr:row>
      <xdr:rowOff>80963</xdr:rowOff>
    </xdr:from>
    <xdr:to>
      <xdr:col>8</xdr:col>
      <xdr:colOff>385760</xdr:colOff>
      <xdr:row>33</xdr:row>
      <xdr:rowOff>95250</xdr:rowOff>
    </xdr:to>
    <xdr:pic>
      <xdr:nvPicPr>
        <xdr:cNvPr id="59" name="Graphic 58" descr="Lightbulb with solid fill">
          <a:extLst>
            <a:ext uri="{FF2B5EF4-FFF2-40B4-BE49-F238E27FC236}">
              <a16:creationId xmlns:a16="http://schemas.microsoft.com/office/drawing/2014/main" id="{AA73234D-3C74-1678-8DFF-AF2E94EA309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191123" y="5691188"/>
          <a:ext cx="376237" cy="376237"/>
        </a:xfrm>
        <a:prstGeom prst="rect">
          <a:avLst/>
        </a:prstGeom>
      </xdr:spPr>
    </xdr:pic>
    <xdr:clientData/>
  </xdr:twoCellAnchor>
  <xdr:twoCellAnchor>
    <xdr:from>
      <xdr:col>9</xdr:col>
      <xdr:colOff>214313</xdr:colOff>
      <xdr:row>10</xdr:row>
      <xdr:rowOff>85725</xdr:rowOff>
    </xdr:from>
    <xdr:to>
      <xdr:col>13</xdr:col>
      <xdr:colOff>638175</xdr:colOff>
      <xdr:row>20</xdr:row>
      <xdr:rowOff>23813</xdr:rowOff>
    </xdr:to>
    <xdr:graphicFrame macro="">
      <xdr:nvGraphicFramePr>
        <xdr:cNvPr id="61" name="Chart 60">
          <a:extLst>
            <a:ext uri="{FF2B5EF4-FFF2-40B4-BE49-F238E27FC236}">
              <a16:creationId xmlns:a16="http://schemas.microsoft.com/office/drawing/2014/main" id="{4F0676E5-5F65-4842-9E8F-141CFCB548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9</xdr:col>
      <xdr:colOff>185739</xdr:colOff>
      <xdr:row>8</xdr:row>
      <xdr:rowOff>100012</xdr:rowOff>
    </xdr:from>
    <xdr:ext cx="2576512" cy="371475"/>
    <xdr:sp macro="" textlink="">
      <xdr:nvSpPr>
        <xdr:cNvPr id="5" name="TextBox 4">
          <a:extLst>
            <a:ext uri="{FF2B5EF4-FFF2-40B4-BE49-F238E27FC236}">
              <a16:creationId xmlns:a16="http://schemas.microsoft.com/office/drawing/2014/main" id="{0B53DBF5-27E6-C279-9B8E-B50D8C6D442F}"/>
            </a:ext>
          </a:extLst>
        </xdr:cNvPr>
        <xdr:cNvSpPr txBox="1"/>
      </xdr:nvSpPr>
      <xdr:spPr>
        <a:xfrm>
          <a:off x="6015039" y="1547812"/>
          <a:ext cx="2576512"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Riders</a:t>
          </a:r>
          <a:r>
            <a:rPr lang="en-IN" sz="1200" b="1" baseline="0">
              <a:solidFill>
                <a:schemeClr val="bg1"/>
              </a:solidFill>
              <a:latin typeface="Arial" panose="020B0604020202020204" pitchFamily="34" charset="0"/>
              <a:cs typeface="Arial" panose="020B0604020202020204" pitchFamily="34" charset="0"/>
            </a:rPr>
            <a:t> Monthly Distribution</a:t>
          </a:r>
          <a:endParaRPr lang="en-IN" sz="1200" b="0" baseline="0">
            <a:solidFill>
              <a:schemeClr val="bg1"/>
            </a:solidFill>
            <a:latin typeface="Arial" panose="020B0604020202020204" pitchFamily="34" charset="0"/>
            <a:cs typeface="Arial" panose="020B0604020202020204" pitchFamily="34" charset="0"/>
          </a:endParaRPr>
        </a:p>
      </xdr:txBody>
    </xdr:sp>
    <xdr:clientData/>
  </xdr:oneCellAnchor>
  <xdr:twoCellAnchor>
    <xdr:from>
      <xdr:col>9</xdr:col>
      <xdr:colOff>200026</xdr:colOff>
      <xdr:row>28</xdr:row>
      <xdr:rowOff>114301</xdr:rowOff>
    </xdr:from>
    <xdr:to>
      <xdr:col>14</xdr:col>
      <xdr:colOff>14288</xdr:colOff>
      <xdr:row>38</xdr:row>
      <xdr:rowOff>161925</xdr:rowOff>
    </xdr:to>
    <xdr:graphicFrame macro="">
      <xdr:nvGraphicFramePr>
        <xdr:cNvPr id="6" name="Chart 5">
          <a:extLst>
            <a:ext uri="{FF2B5EF4-FFF2-40B4-BE49-F238E27FC236}">
              <a16:creationId xmlns:a16="http://schemas.microsoft.com/office/drawing/2014/main" id="{ACACFD84-32CF-41D0-AE31-868D953897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9</xdr:col>
      <xdr:colOff>176213</xdr:colOff>
      <xdr:row>22</xdr:row>
      <xdr:rowOff>147637</xdr:rowOff>
    </xdr:from>
    <xdr:ext cx="2576512" cy="371475"/>
    <xdr:sp macro="" textlink="">
      <xdr:nvSpPr>
        <xdr:cNvPr id="19" name="TextBox 18">
          <a:extLst>
            <a:ext uri="{FF2B5EF4-FFF2-40B4-BE49-F238E27FC236}">
              <a16:creationId xmlns:a16="http://schemas.microsoft.com/office/drawing/2014/main" id="{3BD210CE-12FD-2D4B-2255-99A6C01276B6}"/>
            </a:ext>
          </a:extLst>
        </xdr:cNvPr>
        <xdr:cNvSpPr txBox="1"/>
      </xdr:nvSpPr>
      <xdr:spPr>
        <a:xfrm>
          <a:off x="6005513" y="4129087"/>
          <a:ext cx="2576512"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Riders</a:t>
          </a:r>
          <a:r>
            <a:rPr lang="en-IN" sz="1200" b="1" baseline="0">
              <a:solidFill>
                <a:schemeClr val="bg1"/>
              </a:solidFill>
              <a:latin typeface="Arial" panose="020B0604020202020204" pitchFamily="34" charset="0"/>
              <a:cs typeface="Arial" panose="020B0604020202020204" pitchFamily="34" charset="0"/>
            </a:rPr>
            <a:t> Weekday Distribution</a:t>
          </a:r>
          <a:endParaRPr lang="en-IN" sz="1200" b="0" baseline="0">
            <a:solidFill>
              <a:schemeClr val="bg1"/>
            </a:solidFill>
            <a:latin typeface="Arial" panose="020B0604020202020204" pitchFamily="34" charset="0"/>
            <a:cs typeface="Arial" panose="020B0604020202020204" pitchFamily="34" charset="0"/>
          </a:endParaRPr>
        </a:p>
      </xdr:txBody>
    </xdr:sp>
    <xdr:clientData/>
  </xdr:oneCellAnchor>
  <xdr:oneCellAnchor>
    <xdr:from>
      <xdr:col>9</xdr:col>
      <xdr:colOff>338138</xdr:colOff>
      <xdr:row>25</xdr:row>
      <xdr:rowOff>100012</xdr:rowOff>
    </xdr:from>
    <xdr:ext cx="1876425" cy="252412"/>
    <xdr:sp macro="" textlink="Analysis!Q28">
      <xdr:nvSpPr>
        <xdr:cNvPr id="21" name="TextBox 20">
          <a:extLst>
            <a:ext uri="{FF2B5EF4-FFF2-40B4-BE49-F238E27FC236}">
              <a16:creationId xmlns:a16="http://schemas.microsoft.com/office/drawing/2014/main" id="{414E9DA4-6528-1525-64C8-F930D0887785}"/>
            </a:ext>
          </a:extLst>
        </xdr:cNvPr>
        <xdr:cNvSpPr txBox="1"/>
      </xdr:nvSpPr>
      <xdr:spPr>
        <a:xfrm>
          <a:off x="6167438" y="4624387"/>
          <a:ext cx="1876425" cy="252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41D8C148-DEC7-406D-A70F-06350AE330D7}" type="TxLink">
            <a:rPr lang="en-US" sz="1050" b="0" i="0" u="none" strike="noStrike" baseline="0">
              <a:solidFill>
                <a:schemeClr val="bg1">
                  <a:lumMod val="95000"/>
                </a:schemeClr>
              </a:solidFill>
              <a:latin typeface="Aptos Narrow"/>
              <a:cs typeface="Arial" panose="020B0604020202020204" pitchFamily="34" charset="0"/>
            </a:rPr>
            <a:pPr algn="ctr"/>
            <a:t>Highlighted Area Contributes to </a:t>
          </a:fld>
          <a:endParaRPr lang="en-IN" sz="1100" b="0" baseline="0">
            <a:solidFill>
              <a:schemeClr val="bg1">
                <a:lumMod val="95000"/>
              </a:schemeClr>
            </a:solidFill>
            <a:latin typeface="Arial" panose="020B0604020202020204" pitchFamily="34" charset="0"/>
            <a:cs typeface="Arial" panose="020B0604020202020204" pitchFamily="34" charset="0"/>
          </a:endParaRPr>
        </a:p>
      </xdr:txBody>
    </xdr:sp>
    <xdr:clientData/>
  </xdr:oneCellAnchor>
  <xdr:oneCellAnchor>
    <xdr:from>
      <xdr:col>10</xdr:col>
      <xdr:colOff>614363</xdr:colOff>
      <xdr:row>26</xdr:row>
      <xdr:rowOff>38097</xdr:rowOff>
    </xdr:from>
    <xdr:ext cx="866775" cy="352427"/>
    <xdr:sp macro="" textlink="Analysis!Q29">
      <xdr:nvSpPr>
        <xdr:cNvPr id="22" name="TextBox 21">
          <a:extLst>
            <a:ext uri="{FF2B5EF4-FFF2-40B4-BE49-F238E27FC236}">
              <a16:creationId xmlns:a16="http://schemas.microsoft.com/office/drawing/2014/main" id="{A137D989-48FE-D3A3-7B40-ECD07FC31F9E}"/>
            </a:ext>
          </a:extLst>
        </xdr:cNvPr>
        <xdr:cNvSpPr txBox="1"/>
      </xdr:nvSpPr>
      <xdr:spPr>
        <a:xfrm>
          <a:off x="7091363" y="4743447"/>
          <a:ext cx="866775" cy="3524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6FA4F8F-B78C-4C1D-90A1-11756170401C}" type="TxLink">
            <a:rPr lang="en-US" sz="1050" b="0" i="0" u="none" strike="noStrike" baseline="0">
              <a:solidFill>
                <a:schemeClr val="bg1">
                  <a:lumMod val="95000"/>
                </a:schemeClr>
              </a:solidFill>
              <a:latin typeface="Aptos Narrow"/>
              <a:ea typeface="+mn-ea"/>
              <a:cs typeface="Arial" panose="020B0604020202020204" pitchFamily="34" charset="0"/>
            </a:rPr>
            <a:pPr marL="0" indent="0" algn="ctr"/>
            <a:t> of Total Riders</a:t>
          </a:fld>
          <a:endParaRPr lang="en-IN" sz="1050" b="0" i="0" u="none" strike="noStrike" baseline="0">
            <a:solidFill>
              <a:schemeClr val="bg1">
                <a:lumMod val="95000"/>
              </a:schemeClr>
            </a:solidFill>
            <a:latin typeface="Aptos Narrow"/>
            <a:ea typeface="+mn-ea"/>
            <a:cs typeface="Arial" panose="020B0604020202020204" pitchFamily="34" charset="0"/>
          </a:endParaRPr>
        </a:p>
      </xdr:txBody>
    </xdr:sp>
    <xdr:clientData/>
  </xdr:oneCellAnchor>
  <xdr:oneCellAnchor>
    <xdr:from>
      <xdr:col>10</xdr:col>
      <xdr:colOff>104775</xdr:colOff>
      <xdr:row>26</xdr:row>
      <xdr:rowOff>90487</xdr:rowOff>
    </xdr:from>
    <xdr:ext cx="576263" cy="252412"/>
    <xdr:sp macro="" textlink="Analysis!R26">
      <xdr:nvSpPr>
        <xdr:cNvPr id="28" name="TextBox 27">
          <a:extLst>
            <a:ext uri="{FF2B5EF4-FFF2-40B4-BE49-F238E27FC236}">
              <a16:creationId xmlns:a16="http://schemas.microsoft.com/office/drawing/2014/main" id="{F60A7D04-EF16-5A76-B9FA-B591540422AE}"/>
            </a:ext>
          </a:extLst>
        </xdr:cNvPr>
        <xdr:cNvSpPr txBox="1"/>
      </xdr:nvSpPr>
      <xdr:spPr>
        <a:xfrm>
          <a:off x="6581775" y="4795837"/>
          <a:ext cx="576263" cy="252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12BDC666-148F-4583-B73C-78D0F1028168}" type="TxLink">
            <a:rPr lang="en-US" sz="1400" b="1" i="0" u="none" strike="noStrike" baseline="0">
              <a:solidFill>
                <a:srgbClr val="6D49F2"/>
              </a:solidFill>
              <a:latin typeface="Aptos Narrow"/>
              <a:ea typeface="+mn-ea"/>
              <a:cs typeface="Arial" panose="020B0604020202020204" pitchFamily="34" charset="0"/>
            </a:rPr>
            <a:pPr marL="0" indent="0" algn="ctr"/>
            <a:t>49.4%</a:t>
          </a:fld>
          <a:endParaRPr lang="en-IN" sz="1400" b="1" i="0" u="none" strike="noStrike" baseline="0">
            <a:solidFill>
              <a:srgbClr val="6D49F2"/>
            </a:solidFill>
            <a:latin typeface="Aptos Narrow"/>
            <a:ea typeface="+mn-ea"/>
            <a:cs typeface="Arial" panose="020B0604020202020204" pitchFamily="34" charset="0"/>
          </a:endParaRPr>
        </a:p>
      </xdr:txBody>
    </xdr:sp>
    <xdr:clientData/>
  </xdr:oneCellAnchor>
  <xdr:twoCellAnchor>
    <xdr:from>
      <xdr:col>9</xdr:col>
      <xdr:colOff>204787</xdr:colOff>
      <xdr:row>22</xdr:row>
      <xdr:rowOff>14287</xdr:rowOff>
    </xdr:from>
    <xdr:to>
      <xdr:col>14</xdr:col>
      <xdr:colOff>19050</xdr:colOff>
      <xdr:row>22</xdr:row>
      <xdr:rowOff>19050</xdr:rowOff>
    </xdr:to>
    <xdr:cxnSp macro="">
      <xdr:nvCxnSpPr>
        <xdr:cNvPr id="46" name="Straight Connector 45">
          <a:extLst>
            <a:ext uri="{FF2B5EF4-FFF2-40B4-BE49-F238E27FC236}">
              <a16:creationId xmlns:a16="http://schemas.microsoft.com/office/drawing/2014/main" id="{E19F4C5D-3190-46D1-86AF-BDEA721E4968}"/>
            </a:ext>
          </a:extLst>
        </xdr:cNvPr>
        <xdr:cNvCxnSpPr/>
      </xdr:nvCxnSpPr>
      <xdr:spPr>
        <a:xfrm>
          <a:off x="6034087" y="3995737"/>
          <a:ext cx="3052763" cy="4763"/>
        </a:xfrm>
        <a:prstGeom prst="line">
          <a:avLst/>
        </a:prstGeom>
        <a:ln w="47625">
          <a:gradFill>
            <a:gsLst>
              <a:gs pos="41000">
                <a:schemeClr val="bg2">
                  <a:lumMod val="90000"/>
                </a:schemeClr>
              </a:gs>
              <a:gs pos="0">
                <a:schemeClr val="tx1">
                  <a:lumMod val="73000"/>
                </a:schemeClr>
              </a:gs>
              <a:gs pos="63000">
                <a:schemeClr val="tx1">
                  <a:alpha val="83000"/>
                  <a:lumMod val="54000"/>
                  <a:lumOff val="46000"/>
                </a:schemeClr>
              </a:gs>
              <a:gs pos="100000">
                <a:schemeClr val="tx1">
                  <a:lumMod val="95000"/>
                  <a:lumOff val="5000"/>
                </a:schemeClr>
              </a:gs>
            </a:gsLst>
            <a:lin ang="5400000" scaled="1"/>
          </a:gradFill>
        </a:ln>
        <a:effectLst>
          <a:outerShdw blurRad="50800" dist="38100" dir="16200000" rotWithShape="0">
            <a:prstClr val="black">
              <a:alpha val="40000"/>
            </a:prstClr>
          </a:outerShd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352426</xdr:colOff>
      <xdr:row>4</xdr:row>
      <xdr:rowOff>85727</xdr:rowOff>
    </xdr:from>
    <xdr:to>
      <xdr:col>20</xdr:col>
      <xdr:colOff>347663</xdr:colOff>
      <xdr:row>14</xdr:row>
      <xdr:rowOff>128589</xdr:rowOff>
    </xdr:to>
    <xdr:graphicFrame macro="">
      <xdr:nvGraphicFramePr>
        <xdr:cNvPr id="50" name="Chart 49">
          <a:extLst>
            <a:ext uri="{FF2B5EF4-FFF2-40B4-BE49-F238E27FC236}">
              <a16:creationId xmlns:a16="http://schemas.microsoft.com/office/drawing/2014/main" id="{262CB896-F1BD-416E-9F9A-B6BE0A6A06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333375</xdr:colOff>
      <xdr:row>4</xdr:row>
      <xdr:rowOff>85727</xdr:rowOff>
    </xdr:from>
    <xdr:to>
      <xdr:col>17</xdr:col>
      <xdr:colOff>319088</xdr:colOff>
      <xdr:row>14</xdr:row>
      <xdr:rowOff>128589</xdr:rowOff>
    </xdr:to>
    <xdr:graphicFrame macro="">
      <xdr:nvGraphicFramePr>
        <xdr:cNvPr id="57" name="Chart 56">
          <a:extLst>
            <a:ext uri="{FF2B5EF4-FFF2-40B4-BE49-F238E27FC236}">
              <a16:creationId xmlns:a16="http://schemas.microsoft.com/office/drawing/2014/main" id="{9EC5C0D7-8517-4D24-AB33-F6079E32A3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33337</xdr:colOff>
      <xdr:row>14</xdr:row>
      <xdr:rowOff>171452</xdr:rowOff>
    </xdr:from>
    <xdr:to>
      <xdr:col>19</xdr:col>
      <xdr:colOff>19050</xdr:colOff>
      <xdr:row>25</xdr:row>
      <xdr:rowOff>33339</xdr:rowOff>
    </xdr:to>
    <xdr:graphicFrame macro="">
      <xdr:nvGraphicFramePr>
        <xdr:cNvPr id="58" name="Chart 57">
          <a:extLst>
            <a:ext uri="{FF2B5EF4-FFF2-40B4-BE49-F238E27FC236}">
              <a16:creationId xmlns:a16="http://schemas.microsoft.com/office/drawing/2014/main" id="{81582E50-7348-2D21-D436-70D95D6E8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oneCellAnchor>
    <xdr:from>
      <xdr:col>15</xdr:col>
      <xdr:colOff>228600</xdr:colOff>
      <xdr:row>8</xdr:row>
      <xdr:rowOff>71438</xdr:rowOff>
    </xdr:from>
    <xdr:ext cx="904876" cy="371475"/>
    <xdr:sp macro="" textlink="Analysis!W13">
      <xdr:nvSpPr>
        <xdr:cNvPr id="62" name="TextBox 61">
          <a:extLst>
            <a:ext uri="{FF2B5EF4-FFF2-40B4-BE49-F238E27FC236}">
              <a16:creationId xmlns:a16="http://schemas.microsoft.com/office/drawing/2014/main" id="{F7F21E3D-782C-B44A-6746-FC2C5175A95A}"/>
            </a:ext>
          </a:extLst>
        </xdr:cNvPr>
        <xdr:cNvSpPr txBox="1"/>
      </xdr:nvSpPr>
      <xdr:spPr>
        <a:xfrm>
          <a:off x="9944100" y="1519238"/>
          <a:ext cx="904876"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A6BB9CD2-A691-47CC-8032-F7C731F92085}" type="TxLink">
            <a:rPr lang="en-US" sz="2800" b="0" i="0" u="none" strike="noStrike" baseline="0">
              <a:solidFill>
                <a:srgbClr val="3C308C"/>
              </a:solidFill>
              <a:latin typeface="Aptos Narrow"/>
              <a:cs typeface="Arial" panose="020B0604020202020204" pitchFamily="34" charset="0"/>
            </a:rPr>
            <a:pPr algn="ctr"/>
            <a:t>24%</a:t>
          </a:fld>
          <a:endParaRPr lang="en-IN" sz="4000" b="1" baseline="0">
            <a:solidFill>
              <a:srgbClr val="3C308C"/>
            </a:solidFill>
            <a:latin typeface="Arial" panose="020B0604020202020204" pitchFamily="34" charset="0"/>
            <a:cs typeface="Arial" panose="020B0604020202020204" pitchFamily="34" charset="0"/>
          </a:endParaRPr>
        </a:p>
      </xdr:txBody>
    </xdr:sp>
    <xdr:clientData/>
  </xdr:oneCellAnchor>
  <xdr:oneCellAnchor>
    <xdr:from>
      <xdr:col>23</xdr:col>
      <xdr:colOff>490537</xdr:colOff>
      <xdr:row>0</xdr:row>
      <xdr:rowOff>0</xdr:rowOff>
    </xdr:from>
    <xdr:ext cx="904876" cy="0"/>
    <xdr:sp macro="" textlink="Analysis!W13">
      <xdr:nvSpPr>
        <xdr:cNvPr id="63" name="TextBox 62">
          <a:extLst>
            <a:ext uri="{FF2B5EF4-FFF2-40B4-BE49-F238E27FC236}">
              <a16:creationId xmlns:a16="http://schemas.microsoft.com/office/drawing/2014/main" id="{471C663B-6F4F-7D7C-52C2-BE01FCA14141}"/>
            </a:ext>
          </a:extLst>
        </xdr:cNvPr>
        <xdr:cNvSpPr txBox="1"/>
      </xdr:nvSpPr>
      <xdr:spPr>
        <a:xfrm>
          <a:off x="15387637" y="0"/>
          <a:ext cx="904876" cy="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A6BB9CD2-A691-47CC-8032-F7C731F92085}" type="TxLink">
            <a:rPr lang="en-US" sz="2800" b="0" i="0" u="none" strike="noStrike" baseline="0">
              <a:solidFill>
                <a:srgbClr val="241C59"/>
              </a:solidFill>
              <a:latin typeface="Aptos Narrow"/>
              <a:cs typeface="Arial" panose="020B0604020202020204" pitchFamily="34" charset="0"/>
            </a:rPr>
            <a:pPr algn="ctr"/>
            <a:t>24%</a:t>
          </a:fld>
          <a:endParaRPr lang="en-IN" sz="4000" b="1" baseline="0">
            <a:solidFill>
              <a:srgbClr val="241C59"/>
            </a:solidFill>
            <a:latin typeface="Arial" panose="020B0604020202020204" pitchFamily="34" charset="0"/>
            <a:cs typeface="Arial" panose="020B0604020202020204" pitchFamily="34" charset="0"/>
          </a:endParaRPr>
        </a:p>
      </xdr:txBody>
    </xdr:sp>
    <xdr:clientData/>
  </xdr:oneCellAnchor>
  <xdr:oneCellAnchor>
    <xdr:from>
      <xdr:col>32</xdr:col>
      <xdr:colOff>100012</xdr:colOff>
      <xdr:row>0</xdr:row>
      <xdr:rowOff>0</xdr:rowOff>
    </xdr:from>
    <xdr:ext cx="904876" cy="0"/>
    <xdr:sp macro="" textlink="Analysis!W13">
      <xdr:nvSpPr>
        <xdr:cNvPr id="64" name="TextBox 63">
          <a:extLst>
            <a:ext uri="{FF2B5EF4-FFF2-40B4-BE49-F238E27FC236}">
              <a16:creationId xmlns:a16="http://schemas.microsoft.com/office/drawing/2014/main" id="{F241D93B-3412-598E-C7BA-296C63E00BE4}"/>
            </a:ext>
          </a:extLst>
        </xdr:cNvPr>
        <xdr:cNvSpPr txBox="1"/>
      </xdr:nvSpPr>
      <xdr:spPr>
        <a:xfrm>
          <a:off x="20826412" y="0"/>
          <a:ext cx="904876" cy="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A6BB9CD2-A691-47CC-8032-F7C731F92085}" type="TxLink">
            <a:rPr lang="en-US" sz="2800" b="0" i="0" u="none" strike="noStrike" baseline="0">
              <a:solidFill>
                <a:srgbClr val="241C59"/>
              </a:solidFill>
              <a:latin typeface="Aptos Narrow"/>
              <a:cs typeface="Arial" panose="020B0604020202020204" pitchFamily="34" charset="0"/>
            </a:rPr>
            <a:pPr algn="ctr"/>
            <a:t>24%</a:t>
          </a:fld>
          <a:endParaRPr lang="en-IN" sz="4000" b="1" baseline="0">
            <a:solidFill>
              <a:srgbClr val="241C59"/>
            </a:solidFill>
            <a:latin typeface="Arial" panose="020B0604020202020204" pitchFamily="34" charset="0"/>
            <a:cs typeface="Arial" panose="020B0604020202020204" pitchFamily="34" charset="0"/>
          </a:endParaRPr>
        </a:p>
      </xdr:txBody>
    </xdr:sp>
    <xdr:clientData/>
  </xdr:oneCellAnchor>
  <xdr:oneCellAnchor>
    <xdr:from>
      <xdr:col>18</xdr:col>
      <xdr:colOff>266700</xdr:colOff>
      <xdr:row>8</xdr:row>
      <xdr:rowOff>85726</xdr:rowOff>
    </xdr:from>
    <xdr:ext cx="904876" cy="371475"/>
    <xdr:sp macro="" textlink="Analysis!W14">
      <xdr:nvSpPr>
        <xdr:cNvPr id="65" name="TextBox 64">
          <a:extLst>
            <a:ext uri="{FF2B5EF4-FFF2-40B4-BE49-F238E27FC236}">
              <a16:creationId xmlns:a16="http://schemas.microsoft.com/office/drawing/2014/main" id="{3697F0BC-474C-C48F-63B2-5EB04FD5C41D}"/>
            </a:ext>
          </a:extLst>
        </xdr:cNvPr>
        <xdr:cNvSpPr txBox="1"/>
      </xdr:nvSpPr>
      <xdr:spPr>
        <a:xfrm>
          <a:off x="11925300" y="1533526"/>
          <a:ext cx="904876"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62970B8E-D531-473A-8954-409B3F8643F0}" type="TxLink">
            <a:rPr lang="en-US" sz="2800" b="0" i="0" u="none" strike="noStrike" baseline="0">
              <a:solidFill>
                <a:srgbClr val="6141A6"/>
              </a:solidFill>
              <a:latin typeface="Aptos Narrow"/>
              <a:cs typeface="Arial" panose="020B0604020202020204" pitchFamily="34" charset="0"/>
            </a:rPr>
            <a:pPr algn="ctr"/>
            <a:t>35%</a:t>
          </a:fld>
          <a:endParaRPr lang="en-IN" sz="8000" b="1" baseline="0">
            <a:solidFill>
              <a:srgbClr val="6141A6"/>
            </a:solidFill>
            <a:latin typeface="Arial" panose="020B0604020202020204" pitchFamily="34" charset="0"/>
            <a:cs typeface="Arial" panose="020B0604020202020204" pitchFamily="34" charset="0"/>
          </a:endParaRPr>
        </a:p>
      </xdr:txBody>
    </xdr:sp>
    <xdr:clientData/>
  </xdr:oneCellAnchor>
  <xdr:oneCellAnchor>
    <xdr:from>
      <xdr:col>16</xdr:col>
      <xdr:colOff>581025</xdr:colOff>
      <xdr:row>19</xdr:row>
      <xdr:rowOff>9526</xdr:rowOff>
    </xdr:from>
    <xdr:ext cx="904876" cy="371475"/>
    <xdr:sp macro="" textlink="Analysis!W15">
      <xdr:nvSpPr>
        <xdr:cNvPr id="66" name="TextBox 65">
          <a:extLst>
            <a:ext uri="{FF2B5EF4-FFF2-40B4-BE49-F238E27FC236}">
              <a16:creationId xmlns:a16="http://schemas.microsoft.com/office/drawing/2014/main" id="{07D9FFC6-D97B-E919-DC54-68EC98217891}"/>
            </a:ext>
          </a:extLst>
        </xdr:cNvPr>
        <xdr:cNvSpPr txBox="1"/>
      </xdr:nvSpPr>
      <xdr:spPr>
        <a:xfrm>
          <a:off x="10944225" y="3448051"/>
          <a:ext cx="904876"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29E06ABD-E91D-4F05-9E0C-F0D7C5AD6B97}" type="TxLink">
            <a:rPr lang="en-US" sz="2400" b="0" i="0" u="none" strike="noStrike" baseline="0">
              <a:solidFill>
                <a:srgbClr val="6D49F2"/>
              </a:solidFill>
              <a:latin typeface="Aptos Narrow"/>
              <a:cs typeface="Arial" panose="020B0604020202020204" pitchFamily="34" charset="0"/>
            </a:rPr>
            <a:pPr algn="ctr"/>
            <a:t>41%</a:t>
          </a:fld>
          <a:endParaRPr lang="en-IN" sz="7200" b="1" baseline="0">
            <a:solidFill>
              <a:srgbClr val="6D49F2"/>
            </a:solidFill>
            <a:latin typeface="Arial" panose="020B0604020202020204" pitchFamily="34" charset="0"/>
            <a:cs typeface="Arial" panose="020B0604020202020204" pitchFamily="34" charset="0"/>
          </a:endParaRPr>
        </a:p>
      </xdr:txBody>
    </xdr:sp>
    <xdr:clientData/>
  </xdr:oneCellAnchor>
  <xdr:oneCellAnchor>
    <xdr:from>
      <xdr:col>16</xdr:col>
      <xdr:colOff>533400</xdr:colOff>
      <xdr:row>24</xdr:row>
      <xdr:rowOff>28575</xdr:rowOff>
    </xdr:from>
    <xdr:ext cx="1109663" cy="371475"/>
    <xdr:sp macro="" textlink="">
      <xdr:nvSpPr>
        <xdr:cNvPr id="67" name="TextBox 66">
          <a:extLst>
            <a:ext uri="{FF2B5EF4-FFF2-40B4-BE49-F238E27FC236}">
              <a16:creationId xmlns:a16="http://schemas.microsoft.com/office/drawing/2014/main" id="{26E0FB2E-2516-4423-3EAB-069A65B20FE6}"/>
            </a:ext>
          </a:extLst>
        </xdr:cNvPr>
        <xdr:cNvSpPr txBox="1"/>
      </xdr:nvSpPr>
      <xdr:spPr>
        <a:xfrm>
          <a:off x="10896600" y="4371975"/>
          <a:ext cx="1109663"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rgbClr val="6D49F2"/>
              </a:solidFill>
              <a:latin typeface="Arial" panose="020B0604020202020204" pitchFamily="34" charset="0"/>
              <a:cs typeface="Arial" panose="020B0604020202020204" pitchFamily="34" charset="0"/>
            </a:rPr>
            <a:t>Well</a:t>
          </a:r>
          <a:r>
            <a:rPr lang="en-IN" sz="1200" b="1">
              <a:solidFill>
                <a:schemeClr val="bg1"/>
              </a:solidFill>
              <a:latin typeface="Arial" panose="020B0604020202020204" pitchFamily="34" charset="0"/>
              <a:cs typeface="Arial" panose="020B0604020202020204" pitchFamily="34" charset="0"/>
            </a:rPr>
            <a:t> </a:t>
          </a:r>
          <a:r>
            <a:rPr lang="en-IN" sz="1200" b="1">
              <a:solidFill>
                <a:srgbClr val="6D49F2"/>
              </a:solidFill>
              <a:latin typeface="Arial" panose="020B0604020202020204" pitchFamily="34" charset="0"/>
              <a:cs typeface="Arial" panose="020B0604020202020204" pitchFamily="34" charset="0"/>
            </a:rPr>
            <a:t>Utilized</a:t>
          </a:r>
          <a:endParaRPr lang="en-IN" sz="1200" b="0" baseline="0">
            <a:solidFill>
              <a:srgbClr val="6D49F2"/>
            </a:solidFill>
            <a:latin typeface="Arial" panose="020B0604020202020204" pitchFamily="34" charset="0"/>
            <a:cs typeface="Arial" panose="020B0604020202020204" pitchFamily="34" charset="0"/>
          </a:endParaRPr>
        </a:p>
      </xdr:txBody>
    </xdr:sp>
    <xdr:clientData/>
  </xdr:oneCellAnchor>
  <xdr:oneCellAnchor>
    <xdr:from>
      <xdr:col>24</xdr:col>
      <xdr:colOff>242885</xdr:colOff>
      <xdr:row>35</xdr:row>
      <xdr:rowOff>90487</xdr:rowOff>
    </xdr:from>
    <xdr:ext cx="1109663" cy="371475"/>
    <xdr:sp macro="" textlink="">
      <xdr:nvSpPr>
        <xdr:cNvPr id="68" name="TextBox 67">
          <a:extLst>
            <a:ext uri="{FF2B5EF4-FFF2-40B4-BE49-F238E27FC236}">
              <a16:creationId xmlns:a16="http://schemas.microsoft.com/office/drawing/2014/main" id="{2E12B455-8497-5BE4-4E37-CE716047F5E1}"/>
            </a:ext>
          </a:extLst>
        </xdr:cNvPr>
        <xdr:cNvSpPr txBox="1"/>
      </xdr:nvSpPr>
      <xdr:spPr>
        <a:xfrm>
          <a:off x="15787685" y="6424612"/>
          <a:ext cx="1109663"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Well Utilized</a:t>
          </a:r>
          <a:endParaRPr lang="en-IN" sz="1200" b="0" baseline="0">
            <a:solidFill>
              <a:schemeClr val="bg1"/>
            </a:solidFill>
            <a:latin typeface="Arial" panose="020B0604020202020204" pitchFamily="34" charset="0"/>
            <a:cs typeface="Arial" panose="020B0604020202020204" pitchFamily="34" charset="0"/>
          </a:endParaRPr>
        </a:p>
      </xdr:txBody>
    </xdr:sp>
    <xdr:clientData/>
  </xdr:oneCellAnchor>
  <xdr:oneCellAnchor>
    <xdr:from>
      <xdr:col>15</xdr:col>
      <xdr:colOff>166687</xdr:colOff>
      <xdr:row>13</xdr:row>
      <xdr:rowOff>71438</xdr:rowOff>
    </xdr:from>
    <xdr:ext cx="1109663" cy="371475"/>
    <xdr:sp macro="" textlink="">
      <xdr:nvSpPr>
        <xdr:cNvPr id="69" name="TextBox 68">
          <a:extLst>
            <a:ext uri="{FF2B5EF4-FFF2-40B4-BE49-F238E27FC236}">
              <a16:creationId xmlns:a16="http://schemas.microsoft.com/office/drawing/2014/main" id="{8D064742-95B7-A6D1-E0F2-ECDED714B488}"/>
            </a:ext>
          </a:extLst>
        </xdr:cNvPr>
        <xdr:cNvSpPr txBox="1"/>
      </xdr:nvSpPr>
      <xdr:spPr>
        <a:xfrm>
          <a:off x="9882187" y="2424113"/>
          <a:ext cx="1109663"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rgbClr val="3C308C"/>
              </a:solidFill>
              <a:latin typeface="Arial" panose="020B0604020202020204" pitchFamily="34" charset="0"/>
              <a:cs typeface="Arial" panose="020B0604020202020204" pitchFamily="34" charset="0"/>
            </a:rPr>
            <a:t>Under Utilized</a:t>
          </a:r>
          <a:endParaRPr lang="en-IN" sz="1200" b="0" baseline="0">
            <a:solidFill>
              <a:srgbClr val="3C308C"/>
            </a:solidFill>
            <a:latin typeface="Arial" panose="020B0604020202020204" pitchFamily="34" charset="0"/>
            <a:cs typeface="Arial" panose="020B0604020202020204" pitchFamily="34" charset="0"/>
          </a:endParaRPr>
        </a:p>
      </xdr:txBody>
    </xdr:sp>
    <xdr:clientData/>
  </xdr:oneCellAnchor>
  <xdr:oneCellAnchor>
    <xdr:from>
      <xdr:col>18</xdr:col>
      <xdr:colOff>176211</xdr:colOff>
      <xdr:row>13</xdr:row>
      <xdr:rowOff>85726</xdr:rowOff>
    </xdr:from>
    <xdr:ext cx="1109663" cy="371475"/>
    <xdr:sp macro="" textlink="">
      <xdr:nvSpPr>
        <xdr:cNvPr id="70" name="TextBox 69">
          <a:extLst>
            <a:ext uri="{FF2B5EF4-FFF2-40B4-BE49-F238E27FC236}">
              <a16:creationId xmlns:a16="http://schemas.microsoft.com/office/drawing/2014/main" id="{117742F5-94EE-4D2A-D4D5-73454DAEC5E5}"/>
            </a:ext>
          </a:extLst>
        </xdr:cNvPr>
        <xdr:cNvSpPr txBox="1"/>
      </xdr:nvSpPr>
      <xdr:spPr>
        <a:xfrm>
          <a:off x="11834811" y="2438401"/>
          <a:ext cx="1109663"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rgbClr val="6141A6"/>
              </a:solidFill>
              <a:latin typeface="Arial" panose="020B0604020202020204" pitchFamily="34" charset="0"/>
              <a:cs typeface="Arial" panose="020B0604020202020204" pitchFamily="34" charset="0"/>
            </a:rPr>
            <a:t>Over Utilized</a:t>
          </a:r>
          <a:endParaRPr lang="en-IN" sz="1200" b="0" baseline="0">
            <a:solidFill>
              <a:srgbClr val="6141A6"/>
            </a:solidFill>
            <a:latin typeface="Arial" panose="020B0604020202020204" pitchFamily="34" charset="0"/>
            <a:cs typeface="Arial" panose="020B0604020202020204" pitchFamily="34" charset="0"/>
          </a:endParaRPr>
        </a:p>
      </xdr:txBody>
    </xdr:sp>
    <xdr:clientData/>
  </xdr:oneCellAnchor>
  <xdr:oneCellAnchor>
    <xdr:from>
      <xdr:col>14</xdr:col>
      <xdr:colOff>395287</xdr:colOff>
      <xdr:row>2</xdr:row>
      <xdr:rowOff>119063</xdr:rowOff>
    </xdr:from>
    <xdr:ext cx="1833562" cy="371475"/>
    <xdr:sp macro="" textlink="">
      <xdr:nvSpPr>
        <xdr:cNvPr id="71" name="TextBox 70">
          <a:extLst>
            <a:ext uri="{FF2B5EF4-FFF2-40B4-BE49-F238E27FC236}">
              <a16:creationId xmlns:a16="http://schemas.microsoft.com/office/drawing/2014/main" id="{1A39DBC2-8A99-B298-B343-FFC6F5F35A7C}"/>
            </a:ext>
          </a:extLst>
        </xdr:cNvPr>
        <xdr:cNvSpPr txBox="1"/>
      </xdr:nvSpPr>
      <xdr:spPr>
        <a:xfrm>
          <a:off x="9463087" y="481013"/>
          <a:ext cx="1833562"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Bus Utilization Rate</a:t>
          </a:r>
          <a:endParaRPr lang="en-IN" sz="1200" b="0" baseline="0">
            <a:solidFill>
              <a:schemeClr val="bg1"/>
            </a:solidFill>
            <a:latin typeface="Arial" panose="020B0604020202020204" pitchFamily="34" charset="0"/>
            <a:cs typeface="Arial" panose="020B0604020202020204" pitchFamily="34" charset="0"/>
          </a:endParaRPr>
        </a:p>
      </xdr:txBody>
    </xdr:sp>
    <xdr:clientData/>
  </xdr:oneCellAnchor>
  <xdr:twoCellAnchor>
    <xdr:from>
      <xdr:col>14</xdr:col>
      <xdr:colOff>314325</xdr:colOff>
      <xdr:row>28</xdr:row>
      <xdr:rowOff>33337</xdr:rowOff>
    </xdr:from>
    <xdr:to>
      <xdr:col>20</xdr:col>
      <xdr:colOff>371475</xdr:colOff>
      <xdr:row>28</xdr:row>
      <xdr:rowOff>38100</xdr:rowOff>
    </xdr:to>
    <xdr:cxnSp macro="">
      <xdr:nvCxnSpPr>
        <xdr:cNvPr id="72" name="Straight Connector 71">
          <a:extLst>
            <a:ext uri="{FF2B5EF4-FFF2-40B4-BE49-F238E27FC236}">
              <a16:creationId xmlns:a16="http://schemas.microsoft.com/office/drawing/2014/main" id="{C42BA464-CD3D-A698-F52E-0F34E44EDFCC}"/>
            </a:ext>
          </a:extLst>
        </xdr:cNvPr>
        <xdr:cNvCxnSpPr/>
      </xdr:nvCxnSpPr>
      <xdr:spPr>
        <a:xfrm>
          <a:off x="9382125" y="5100637"/>
          <a:ext cx="3943350" cy="4763"/>
        </a:xfrm>
        <a:prstGeom prst="line">
          <a:avLst/>
        </a:prstGeom>
        <a:ln w="31750">
          <a:gradFill>
            <a:gsLst>
              <a:gs pos="32000">
                <a:schemeClr val="bg2">
                  <a:lumMod val="90000"/>
                  <a:alpha val="78000"/>
                </a:schemeClr>
              </a:gs>
              <a:gs pos="0">
                <a:schemeClr val="tx1">
                  <a:lumMod val="73000"/>
                </a:schemeClr>
              </a:gs>
              <a:gs pos="63000">
                <a:schemeClr val="tx1">
                  <a:alpha val="83000"/>
                  <a:lumMod val="54000"/>
                  <a:lumOff val="46000"/>
                </a:schemeClr>
              </a:gs>
              <a:gs pos="100000">
                <a:schemeClr val="tx1">
                  <a:lumMod val="95000"/>
                  <a:lumOff val="5000"/>
                </a:schemeClr>
              </a:gs>
            </a:gsLst>
            <a:lin ang="5400000" scaled="1"/>
          </a:gradFill>
        </a:ln>
        <a:effectLst>
          <a:outerShdw blurRad="50800" dist="38100" dir="16200000" rotWithShape="0">
            <a:prstClr val="black">
              <a:alpha val="40000"/>
            </a:prstClr>
          </a:outerShdw>
        </a:effectLst>
      </xdr:spPr>
      <xdr:style>
        <a:lnRef idx="2">
          <a:schemeClr val="accent1"/>
        </a:lnRef>
        <a:fillRef idx="0">
          <a:schemeClr val="accent1"/>
        </a:fillRef>
        <a:effectRef idx="1">
          <a:schemeClr val="accent1"/>
        </a:effectRef>
        <a:fontRef idx="minor">
          <a:schemeClr val="tx1"/>
        </a:fontRef>
      </xdr:style>
    </xdr:cxnSp>
    <xdr:clientData/>
  </xdr:twoCellAnchor>
  <xdr:oneCellAnchor>
    <xdr:from>
      <xdr:col>14</xdr:col>
      <xdr:colOff>514349</xdr:colOff>
      <xdr:row>28</xdr:row>
      <xdr:rowOff>57150</xdr:rowOff>
    </xdr:from>
    <xdr:ext cx="2928939" cy="371475"/>
    <xdr:sp macro="" textlink="">
      <xdr:nvSpPr>
        <xdr:cNvPr id="80" name="TextBox 79">
          <a:extLst>
            <a:ext uri="{FF2B5EF4-FFF2-40B4-BE49-F238E27FC236}">
              <a16:creationId xmlns:a16="http://schemas.microsoft.com/office/drawing/2014/main" id="{4AAF4DB7-E196-C116-3CCD-D619910E8685}"/>
            </a:ext>
          </a:extLst>
        </xdr:cNvPr>
        <xdr:cNvSpPr txBox="1"/>
      </xdr:nvSpPr>
      <xdr:spPr>
        <a:xfrm>
          <a:off x="9582149" y="5124450"/>
          <a:ext cx="2928939"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Total Riders</a:t>
          </a:r>
          <a:r>
            <a:rPr lang="en-IN" sz="1200" b="1" baseline="0">
              <a:solidFill>
                <a:schemeClr val="bg1"/>
              </a:solidFill>
              <a:latin typeface="Arial" panose="020B0604020202020204" pitchFamily="34" charset="0"/>
              <a:cs typeface="Arial" panose="020B0604020202020204" pitchFamily="34" charset="0"/>
            </a:rPr>
            <a:t> Based On Moment Of Trip</a:t>
          </a:r>
          <a:endParaRPr lang="en-IN" sz="1200" b="0" baseline="0">
            <a:solidFill>
              <a:schemeClr val="bg1"/>
            </a:solidFill>
            <a:latin typeface="Arial" panose="020B0604020202020204" pitchFamily="34" charset="0"/>
            <a:cs typeface="Arial" panose="020B0604020202020204" pitchFamily="34" charset="0"/>
          </a:endParaRPr>
        </a:p>
      </xdr:txBody>
    </xdr:sp>
    <xdr:clientData/>
  </xdr:oneCellAnchor>
  <xdr:oneCellAnchor>
    <xdr:from>
      <xdr:col>16</xdr:col>
      <xdr:colOff>571501</xdr:colOff>
      <xdr:row>25</xdr:row>
      <xdr:rowOff>66675</xdr:rowOff>
    </xdr:from>
    <xdr:ext cx="1042987" cy="371475"/>
    <xdr:sp macro="" textlink="Analysis!X9">
      <xdr:nvSpPr>
        <xdr:cNvPr id="81" name="TextBox 80">
          <a:extLst>
            <a:ext uri="{FF2B5EF4-FFF2-40B4-BE49-F238E27FC236}">
              <a16:creationId xmlns:a16="http://schemas.microsoft.com/office/drawing/2014/main" id="{9529E55C-FEA8-DF17-05B6-0B9E9A4F7CEB}"/>
            </a:ext>
          </a:extLst>
        </xdr:cNvPr>
        <xdr:cNvSpPr txBox="1"/>
      </xdr:nvSpPr>
      <xdr:spPr>
        <a:xfrm>
          <a:off x="10934701" y="4591050"/>
          <a:ext cx="1042987"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D58A406-BFBB-45F2-A879-217B6C4726AB}" type="TxLink">
            <a:rPr lang="en-US" sz="1200" b="0" i="0" u="none" strike="noStrike">
              <a:solidFill>
                <a:schemeClr val="bg1"/>
              </a:solidFill>
              <a:latin typeface="Aptos Narrow"/>
              <a:cs typeface="Arial" panose="020B0604020202020204" pitchFamily="34" charset="0"/>
            </a:rPr>
            <a:pPr algn="ctr"/>
            <a:t>34 Total Buses</a:t>
          </a:fld>
          <a:endParaRPr lang="en-IN" sz="1400" b="0" baseline="0">
            <a:solidFill>
              <a:schemeClr val="bg1"/>
            </a:solidFill>
            <a:latin typeface="Arial" panose="020B0604020202020204" pitchFamily="34" charset="0"/>
            <a:cs typeface="Arial" panose="020B0604020202020204" pitchFamily="34" charset="0"/>
          </a:endParaRPr>
        </a:p>
      </xdr:txBody>
    </xdr:sp>
    <xdr:clientData/>
  </xdr:oneCellAnchor>
  <xdr:oneCellAnchor>
    <xdr:from>
      <xdr:col>24</xdr:col>
      <xdr:colOff>309563</xdr:colOff>
      <xdr:row>42</xdr:row>
      <xdr:rowOff>33338</xdr:rowOff>
    </xdr:from>
    <xdr:ext cx="1042987" cy="371475"/>
    <xdr:sp macro="" textlink="Analysis!X9">
      <xdr:nvSpPr>
        <xdr:cNvPr id="82" name="TextBox 81">
          <a:extLst>
            <a:ext uri="{FF2B5EF4-FFF2-40B4-BE49-F238E27FC236}">
              <a16:creationId xmlns:a16="http://schemas.microsoft.com/office/drawing/2014/main" id="{4152E331-BC64-3736-29F6-A2DA59A14B2F}"/>
            </a:ext>
          </a:extLst>
        </xdr:cNvPr>
        <xdr:cNvSpPr txBox="1"/>
      </xdr:nvSpPr>
      <xdr:spPr>
        <a:xfrm>
          <a:off x="15854363" y="7634288"/>
          <a:ext cx="1042987"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D58A406-BFBB-45F2-A879-217B6C4726AB}" type="TxLink">
            <a:rPr lang="en-US" sz="1200" b="0" i="0" u="none" strike="noStrike">
              <a:solidFill>
                <a:schemeClr val="bg1"/>
              </a:solidFill>
              <a:latin typeface="Aptos Narrow"/>
              <a:cs typeface="Arial" panose="020B0604020202020204" pitchFamily="34" charset="0"/>
            </a:rPr>
            <a:pPr algn="ctr"/>
            <a:t>34 Total Buses</a:t>
          </a:fld>
          <a:endParaRPr lang="en-IN" sz="1400" b="0" baseline="0">
            <a:solidFill>
              <a:schemeClr val="bg1"/>
            </a:solidFill>
            <a:latin typeface="Arial" panose="020B0604020202020204" pitchFamily="34" charset="0"/>
            <a:cs typeface="Arial" panose="020B0604020202020204" pitchFamily="34" charset="0"/>
          </a:endParaRPr>
        </a:p>
      </xdr:txBody>
    </xdr:sp>
    <xdr:clientData/>
  </xdr:oneCellAnchor>
  <xdr:oneCellAnchor>
    <xdr:from>
      <xdr:col>15</xdr:col>
      <xdr:colOff>200026</xdr:colOff>
      <xdr:row>14</xdr:row>
      <xdr:rowOff>114300</xdr:rowOff>
    </xdr:from>
    <xdr:ext cx="1042987" cy="371475"/>
    <xdr:sp macro="" textlink="Analysis!X8">
      <xdr:nvSpPr>
        <xdr:cNvPr id="83" name="TextBox 82">
          <a:extLst>
            <a:ext uri="{FF2B5EF4-FFF2-40B4-BE49-F238E27FC236}">
              <a16:creationId xmlns:a16="http://schemas.microsoft.com/office/drawing/2014/main" id="{CA0E1667-28C0-C9C1-972F-67E5A56D7790}"/>
            </a:ext>
          </a:extLst>
        </xdr:cNvPr>
        <xdr:cNvSpPr txBox="1"/>
      </xdr:nvSpPr>
      <xdr:spPr>
        <a:xfrm>
          <a:off x="9915526" y="2647950"/>
          <a:ext cx="1042987"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E512C23A-6978-4A43-9E2B-1A9D18548464}" type="TxLink">
            <a:rPr lang="en-US" sz="1200" b="0" i="0" u="none" strike="noStrike">
              <a:solidFill>
                <a:schemeClr val="bg1"/>
              </a:solidFill>
              <a:latin typeface="Aptos Narrow"/>
              <a:ea typeface="+mn-ea"/>
              <a:cs typeface="Arial" panose="020B0604020202020204" pitchFamily="34" charset="0"/>
            </a:rPr>
            <a:pPr marL="0" indent="0" algn="ctr"/>
            <a:t>29 Total Buses</a:t>
          </a:fld>
          <a:endParaRPr lang="en-IN" sz="1200" b="0" i="0" u="none" strike="noStrike">
            <a:solidFill>
              <a:schemeClr val="bg1"/>
            </a:solidFill>
            <a:latin typeface="Aptos Narrow"/>
            <a:ea typeface="+mn-ea"/>
            <a:cs typeface="Arial" panose="020B0604020202020204" pitchFamily="34" charset="0"/>
          </a:endParaRPr>
        </a:p>
      </xdr:txBody>
    </xdr:sp>
    <xdr:clientData/>
  </xdr:oneCellAnchor>
  <xdr:oneCellAnchor>
    <xdr:from>
      <xdr:col>18</xdr:col>
      <xdr:colOff>204789</xdr:colOff>
      <xdr:row>14</xdr:row>
      <xdr:rowOff>123825</xdr:rowOff>
    </xdr:from>
    <xdr:ext cx="1042987" cy="371475"/>
    <xdr:sp macro="" textlink="Analysis!X7">
      <xdr:nvSpPr>
        <xdr:cNvPr id="84" name="TextBox 83">
          <a:extLst>
            <a:ext uri="{FF2B5EF4-FFF2-40B4-BE49-F238E27FC236}">
              <a16:creationId xmlns:a16="http://schemas.microsoft.com/office/drawing/2014/main" id="{AD82F0E0-ACD0-7727-A2B9-725E5CFA04C3}"/>
            </a:ext>
          </a:extLst>
        </xdr:cNvPr>
        <xdr:cNvSpPr txBox="1"/>
      </xdr:nvSpPr>
      <xdr:spPr>
        <a:xfrm>
          <a:off x="11863389" y="2657475"/>
          <a:ext cx="1042987"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734D5E83-606E-4AC2-B2F3-2E21F6EA936E}" type="TxLink">
            <a:rPr lang="en-US" sz="1200" b="0" i="0" u="none" strike="noStrike">
              <a:solidFill>
                <a:schemeClr val="bg1"/>
              </a:solidFill>
              <a:latin typeface="Aptos Narrow"/>
              <a:ea typeface="+mn-ea"/>
              <a:cs typeface="Arial" panose="020B0604020202020204" pitchFamily="34" charset="0"/>
            </a:rPr>
            <a:pPr marL="0" indent="0" algn="ctr"/>
            <a:t>20 Total Buses</a:t>
          </a:fld>
          <a:endParaRPr lang="en-IN" sz="1200" b="0" i="0" u="none" strike="noStrike">
            <a:solidFill>
              <a:schemeClr val="bg1"/>
            </a:solidFill>
            <a:latin typeface="Aptos Narrow"/>
            <a:ea typeface="+mn-ea"/>
            <a:cs typeface="Arial" panose="020B0604020202020204" pitchFamily="34" charset="0"/>
          </a:endParaRPr>
        </a:p>
      </xdr:txBody>
    </xdr:sp>
    <xdr:clientData/>
  </xdr:oneCellAnchor>
  <xdr:twoCellAnchor>
    <xdr:from>
      <xdr:col>14</xdr:col>
      <xdr:colOff>533400</xdr:colOff>
      <xdr:row>31</xdr:row>
      <xdr:rowOff>28575</xdr:rowOff>
    </xdr:from>
    <xdr:to>
      <xdr:col>15</xdr:col>
      <xdr:colOff>452438</xdr:colOff>
      <xdr:row>34</xdr:row>
      <xdr:rowOff>9525</xdr:rowOff>
    </xdr:to>
    <xdr:sp macro="" textlink="">
      <xdr:nvSpPr>
        <xdr:cNvPr id="86" name="Rectangle: Rounded Corners 85">
          <a:extLst>
            <a:ext uri="{FF2B5EF4-FFF2-40B4-BE49-F238E27FC236}">
              <a16:creationId xmlns:a16="http://schemas.microsoft.com/office/drawing/2014/main" id="{4587B3A9-FB8B-95CB-A3A4-B767FF2B7DA3}"/>
            </a:ext>
          </a:extLst>
        </xdr:cNvPr>
        <xdr:cNvSpPr/>
      </xdr:nvSpPr>
      <xdr:spPr>
        <a:xfrm>
          <a:off x="9601200" y="5638800"/>
          <a:ext cx="566738" cy="523875"/>
        </a:xfrm>
        <a:prstGeom prst="roundRect">
          <a:avLst/>
        </a:prstGeom>
        <a:solidFill>
          <a:srgbClr val="6D49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542925</xdr:colOff>
      <xdr:row>35</xdr:row>
      <xdr:rowOff>9525</xdr:rowOff>
    </xdr:from>
    <xdr:to>
      <xdr:col>15</xdr:col>
      <xdr:colOff>461963</xdr:colOff>
      <xdr:row>37</xdr:row>
      <xdr:rowOff>171450</xdr:rowOff>
    </xdr:to>
    <xdr:sp macro="" textlink="">
      <xdr:nvSpPr>
        <xdr:cNvPr id="87" name="Rectangle: Rounded Corners 86">
          <a:extLst>
            <a:ext uri="{FF2B5EF4-FFF2-40B4-BE49-F238E27FC236}">
              <a16:creationId xmlns:a16="http://schemas.microsoft.com/office/drawing/2014/main" id="{41AE520C-7CB7-923A-339C-F6D6A8E1AFEA}"/>
            </a:ext>
          </a:extLst>
        </xdr:cNvPr>
        <xdr:cNvSpPr/>
      </xdr:nvSpPr>
      <xdr:spPr>
        <a:xfrm>
          <a:off x="9610725" y="6343650"/>
          <a:ext cx="566738" cy="523875"/>
        </a:xfrm>
        <a:prstGeom prst="roundRect">
          <a:avLst/>
        </a:prstGeom>
        <a:solidFill>
          <a:srgbClr val="6141A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15</xdr:col>
      <xdr:colOff>528636</xdr:colOff>
      <xdr:row>31</xdr:row>
      <xdr:rowOff>57149</xdr:rowOff>
    </xdr:from>
    <xdr:ext cx="1514477" cy="233363"/>
    <xdr:sp macro="" textlink="">
      <xdr:nvSpPr>
        <xdr:cNvPr id="88" name="TextBox 87">
          <a:extLst>
            <a:ext uri="{FF2B5EF4-FFF2-40B4-BE49-F238E27FC236}">
              <a16:creationId xmlns:a16="http://schemas.microsoft.com/office/drawing/2014/main" id="{17271BD7-D781-B53A-E3D2-F56026857A8C}"/>
            </a:ext>
          </a:extLst>
        </xdr:cNvPr>
        <xdr:cNvSpPr txBox="1"/>
      </xdr:nvSpPr>
      <xdr:spPr>
        <a:xfrm>
          <a:off x="10244136" y="5667374"/>
          <a:ext cx="1514477" cy="2333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Total Riders</a:t>
          </a:r>
          <a:r>
            <a:rPr lang="en-IN" sz="1200" b="1" baseline="0">
              <a:solidFill>
                <a:schemeClr val="bg1"/>
              </a:solidFill>
              <a:latin typeface="Arial" panose="020B0604020202020204" pitchFamily="34" charset="0"/>
              <a:cs typeface="Arial" panose="020B0604020202020204" pitchFamily="34" charset="0"/>
            </a:rPr>
            <a:t> By AM</a:t>
          </a:r>
          <a:endParaRPr lang="en-IN" sz="1200" b="0" baseline="0">
            <a:solidFill>
              <a:schemeClr val="bg1"/>
            </a:solidFill>
            <a:latin typeface="Arial" panose="020B0604020202020204" pitchFamily="34" charset="0"/>
            <a:cs typeface="Arial" panose="020B0604020202020204" pitchFamily="34" charset="0"/>
          </a:endParaRPr>
        </a:p>
      </xdr:txBody>
    </xdr:sp>
    <xdr:clientData/>
  </xdr:oneCellAnchor>
  <xdr:oneCellAnchor>
    <xdr:from>
      <xdr:col>15</xdr:col>
      <xdr:colOff>547685</xdr:colOff>
      <xdr:row>35</xdr:row>
      <xdr:rowOff>23811</xdr:rowOff>
    </xdr:from>
    <xdr:ext cx="1514477" cy="233363"/>
    <xdr:sp macro="" textlink="">
      <xdr:nvSpPr>
        <xdr:cNvPr id="89" name="TextBox 88">
          <a:extLst>
            <a:ext uri="{FF2B5EF4-FFF2-40B4-BE49-F238E27FC236}">
              <a16:creationId xmlns:a16="http://schemas.microsoft.com/office/drawing/2014/main" id="{98B50381-9238-E50B-CF48-77268855DFEF}"/>
            </a:ext>
          </a:extLst>
        </xdr:cNvPr>
        <xdr:cNvSpPr txBox="1"/>
      </xdr:nvSpPr>
      <xdr:spPr>
        <a:xfrm>
          <a:off x="10263185" y="6357936"/>
          <a:ext cx="1514477" cy="2333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Total Riders</a:t>
          </a:r>
          <a:r>
            <a:rPr lang="en-IN" sz="1200" b="1" baseline="0">
              <a:solidFill>
                <a:schemeClr val="bg1"/>
              </a:solidFill>
              <a:latin typeface="Arial" panose="020B0604020202020204" pitchFamily="34" charset="0"/>
              <a:cs typeface="Arial" panose="020B0604020202020204" pitchFamily="34" charset="0"/>
            </a:rPr>
            <a:t> By PM</a:t>
          </a:r>
          <a:endParaRPr lang="en-IN" sz="1200" b="0" baseline="0">
            <a:solidFill>
              <a:schemeClr val="bg1"/>
            </a:solidFill>
            <a:latin typeface="Arial" panose="020B0604020202020204" pitchFamily="34" charset="0"/>
            <a:cs typeface="Arial" panose="020B0604020202020204" pitchFamily="34" charset="0"/>
          </a:endParaRPr>
        </a:p>
      </xdr:txBody>
    </xdr:sp>
    <xdr:clientData/>
  </xdr:oneCellAnchor>
  <xdr:oneCellAnchor>
    <xdr:from>
      <xdr:col>16</xdr:col>
      <xdr:colOff>9525</xdr:colOff>
      <xdr:row>32</xdr:row>
      <xdr:rowOff>90486</xdr:rowOff>
    </xdr:from>
    <xdr:ext cx="457200" cy="266702"/>
    <xdr:sp macro="" textlink="Analysis!AD7">
      <xdr:nvSpPr>
        <xdr:cNvPr id="90" name="TextBox 89">
          <a:extLst>
            <a:ext uri="{FF2B5EF4-FFF2-40B4-BE49-F238E27FC236}">
              <a16:creationId xmlns:a16="http://schemas.microsoft.com/office/drawing/2014/main" id="{5902D31B-A990-117B-74F1-EE43FD7FBD37}"/>
            </a:ext>
          </a:extLst>
        </xdr:cNvPr>
        <xdr:cNvSpPr txBox="1"/>
      </xdr:nvSpPr>
      <xdr:spPr>
        <a:xfrm>
          <a:off x="10372725" y="5881686"/>
          <a:ext cx="457200" cy="2667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DE9584ED-BA72-49AE-AB9B-C3B8689BA657}" type="TxLink">
            <a:rPr lang="en-US" sz="1800" b="0" i="0" u="none" strike="noStrike">
              <a:solidFill>
                <a:srgbClr val="6D49F2"/>
              </a:solidFill>
              <a:latin typeface="Aptos Narrow"/>
              <a:cs typeface="Arial" panose="020B0604020202020204" pitchFamily="34" charset="0"/>
            </a:rPr>
            <a:pPr algn="ctr"/>
            <a:t>35%</a:t>
          </a:fld>
          <a:endParaRPr lang="en-IN" sz="2000" b="0" baseline="0">
            <a:solidFill>
              <a:srgbClr val="6D49F2"/>
            </a:solidFill>
            <a:latin typeface="Arial" panose="020B0604020202020204" pitchFamily="34" charset="0"/>
            <a:cs typeface="Arial" panose="020B0604020202020204" pitchFamily="34" charset="0"/>
          </a:endParaRPr>
        </a:p>
      </xdr:txBody>
    </xdr:sp>
    <xdr:clientData/>
  </xdr:oneCellAnchor>
  <xdr:oneCellAnchor>
    <xdr:from>
      <xdr:col>16</xdr:col>
      <xdr:colOff>28575</xdr:colOff>
      <xdr:row>36</xdr:row>
      <xdr:rowOff>85723</xdr:rowOff>
    </xdr:from>
    <xdr:ext cx="438150" cy="266702"/>
    <xdr:sp macro="" textlink="Analysis!AD8">
      <xdr:nvSpPr>
        <xdr:cNvPr id="92" name="TextBox 91">
          <a:extLst>
            <a:ext uri="{FF2B5EF4-FFF2-40B4-BE49-F238E27FC236}">
              <a16:creationId xmlns:a16="http://schemas.microsoft.com/office/drawing/2014/main" id="{EF98C5C0-B27B-0681-321F-5FA2158E7FE9}"/>
            </a:ext>
          </a:extLst>
        </xdr:cNvPr>
        <xdr:cNvSpPr txBox="1"/>
      </xdr:nvSpPr>
      <xdr:spPr>
        <a:xfrm>
          <a:off x="10391775" y="6600823"/>
          <a:ext cx="438150" cy="2667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E3394D7-F8B7-4686-8C17-5B007DF2BEDF}" type="TxLink">
            <a:rPr lang="en-US" sz="1800" b="0" i="0" u="none" strike="noStrike">
              <a:solidFill>
                <a:srgbClr val="6141A6"/>
              </a:solidFill>
              <a:latin typeface="Aptos Narrow"/>
              <a:cs typeface="Arial" panose="020B0604020202020204" pitchFamily="34" charset="0"/>
            </a:rPr>
            <a:pPr algn="ctr"/>
            <a:t>65%</a:t>
          </a:fld>
          <a:endParaRPr lang="en-IN" sz="3600" b="0" baseline="0">
            <a:solidFill>
              <a:srgbClr val="6141A6"/>
            </a:solidFill>
            <a:latin typeface="Arial" panose="020B0604020202020204" pitchFamily="34" charset="0"/>
            <a:cs typeface="Arial" panose="020B0604020202020204" pitchFamily="34" charset="0"/>
          </a:endParaRPr>
        </a:p>
      </xdr:txBody>
    </xdr:sp>
    <xdr:clientData/>
  </xdr:oneCellAnchor>
  <xdr:twoCellAnchor editAs="oneCell">
    <xdr:from>
      <xdr:col>14</xdr:col>
      <xdr:colOff>619525</xdr:colOff>
      <xdr:row>31</xdr:row>
      <xdr:rowOff>93843</xdr:rowOff>
    </xdr:from>
    <xdr:to>
      <xdr:col>15</xdr:col>
      <xdr:colOff>382807</xdr:colOff>
      <xdr:row>33</xdr:row>
      <xdr:rowOff>142875</xdr:rowOff>
    </xdr:to>
    <xdr:pic>
      <xdr:nvPicPr>
        <xdr:cNvPr id="93" name="Picture 92">
          <a:extLst>
            <a:ext uri="{FF2B5EF4-FFF2-40B4-BE49-F238E27FC236}">
              <a16:creationId xmlns:a16="http://schemas.microsoft.com/office/drawing/2014/main" id="{AC18FE02-511D-25B1-6A13-D2BCB2C2BF8F}"/>
            </a:ext>
          </a:extLst>
        </xdr:cNvPr>
        <xdr:cNvPicPr>
          <a:picLocks noChangeAspect="1"/>
        </xdr:cNvPicPr>
      </xdr:nvPicPr>
      <xdr:blipFill>
        <a:blip xmlns:r="http://schemas.openxmlformats.org/officeDocument/2006/relationships" r:embed="rId2" cstate="print">
          <a:alphaModFix/>
          <a:lum bright="70000" contrast="-70000"/>
          <a:extLst>
            <a:ext uri="{28A0092B-C50C-407E-A947-70E740481C1C}">
              <a14:useLocalDpi xmlns:a14="http://schemas.microsoft.com/office/drawing/2010/main" val="0"/>
            </a:ext>
          </a:extLst>
        </a:blip>
        <a:stretch>
          <a:fillRect/>
        </a:stretch>
      </xdr:blipFill>
      <xdr:spPr>
        <a:xfrm>
          <a:off x="9687325" y="5704068"/>
          <a:ext cx="410982" cy="410982"/>
        </a:xfrm>
        <a:prstGeom prst="rect">
          <a:avLst/>
        </a:prstGeom>
        <a:noFill/>
      </xdr:spPr>
    </xdr:pic>
    <xdr:clientData/>
  </xdr:twoCellAnchor>
  <xdr:twoCellAnchor editAs="oneCell">
    <xdr:from>
      <xdr:col>14</xdr:col>
      <xdr:colOff>609259</xdr:colOff>
      <xdr:row>35</xdr:row>
      <xdr:rowOff>57151</xdr:rowOff>
    </xdr:from>
    <xdr:to>
      <xdr:col>15</xdr:col>
      <xdr:colOff>385421</xdr:colOff>
      <xdr:row>37</xdr:row>
      <xdr:rowOff>119063</xdr:rowOff>
    </xdr:to>
    <xdr:pic>
      <xdr:nvPicPr>
        <xdr:cNvPr id="94" name="Picture 93">
          <a:extLst>
            <a:ext uri="{FF2B5EF4-FFF2-40B4-BE49-F238E27FC236}">
              <a16:creationId xmlns:a16="http://schemas.microsoft.com/office/drawing/2014/main" id="{030FF2B6-58B1-996D-8F5F-FAE1C8EE2626}"/>
            </a:ext>
          </a:extLst>
        </xdr:cNvPr>
        <xdr:cNvPicPr>
          <a:picLocks noChangeAspect="1"/>
        </xdr:cNvPicPr>
      </xdr:nvPicPr>
      <xdr:blipFill>
        <a:blip xmlns:r="http://schemas.openxmlformats.org/officeDocument/2006/relationships" r:embed="rId3" cstate="print">
          <a:alphaModFix/>
          <a:lum bright="70000" contrast="-70000"/>
          <a:extLst>
            <a:ext uri="{28A0092B-C50C-407E-A947-70E740481C1C}">
              <a14:useLocalDpi xmlns:a14="http://schemas.microsoft.com/office/drawing/2010/main" val="0"/>
            </a:ext>
          </a:extLst>
        </a:blip>
        <a:stretch>
          <a:fillRect/>
        </a:stretch>
      </xdr:blipFill>
      <xdr:spPr>
        <a:xfrm>
          <a:off x="9677059" y="6391276"/>
          <a:ext cx="423862" cy="423862"/>
        </a:xfrm>
        <a:prstGeom prst="rect">
          <a:avLst/>
        </a:prstGeom>
        <a:noFill/>
      </xdr:spPr>
    </xdr:pic>
    <xdr:clientData/>
  </xdr:twoCellAnchor>
  <xdr:twoCellAnchor editAs="oneCell">
    <xdr:from>
      <xdr:col>0</xdr:col>
      <xdr:colOff>319087</xdr:colOff>
      <xdr:row>17</xdr:row>
      <xdr:rowOff>23812</xdr:rowOff>
    </xdr:from>
    <xdr:to>
      <xdr:col>1</xdr:col>
      <xdr:colOff>119062</xdr:colOff>
      <xdr:row>19</xdr:row>
      <xdr:rowOff>109537</xdr:rowOff>
    </xdr:to>
    <xdr:pic>
      <xdr:nvPicPr>
        <xdr:cNvPr id="48" name="Picture 47">
          <a:extLst>
            <a:ext uri="{FF2B5EF4-FFF2-40B4-BE49-F238E27FC236}">
              <a16:creationId xmlns:a16="http://schemas.microsoft.com/office/drawing/2014/main" id="{EB1F5741-1F49-4509-A259-45E07B13FD66}"/>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19087" y="3100387"/>
          <a:ext cx="447675" cy="447675"/>
        </a:xfrm>
        <a:prstGeom prst="rect">
          <a:avLst/>
        </a:prstGeom>
        <a:solidFill>
          <a:schemeClr val="bg1"/>
        </a:solidFill>
      </xdr:spPr>
    </xdr:pic>
    <xdr:clientData/>
  </xdr:twoCellAnchor>
  <xdr:twoCellAnchor editAs="oneCell">
    <xdr:from>
      <xdr:col>0</xdr:col>
      <xdr:colOff>285751</xdr:colOff>
      <xdr:row>28</xdr:row>
      <xdr:rowOff>142875</xdr:rowOff>
    </xdr:from>
    <xdr:to>
      <xdr:col>1</xdr:col>
      <xdr:colOff>142880</xdr:colOff>
      <xdr:row>31</xdr:row>
      <xdr:rowOff>104779</xdr:rowOff>
    </xdr:to>
    <xdr:pic>
      <xdr:nvPicPr>
        <xdr:cNvPr id="73" name="Picture 72">
          <a:hlinkClick xmlns:r="http://schemas.openxmlformats.org/officeDocument/2006/relationships" r:id="rId13" tooltip="Next Dashboard"/>
          <a:extLst>
            <a:ext uri="{FF2B5EF4-FFF2-40B4-BE49-F238E27FC236}">
              <a16:creationId xmlns:a16="http://schemas.microsoft.com/office/drawing/2014/main" id="{416D0070-81AA-4996-BCE8-596D94D261E5}"/>
            </a:ext>
          </a:extLst>
        </xdr:cNvPr>
        <xdr:cNvPicPr>
          <a:picLocks noChangeAspect="1"/>
        </xdr:cNvPicPr>
      </xdr:nvPicPr>
      <xdr:blipFill>
        <a:blip xmlns:r="http://schemas.openxmlformats.org/officeDocument/2006/relationships" r:embed="rId14">
          <a:duotone>
            <a:schemeClr val="bg2">
              <a:shade val="45000"/>
              <a:satMod val="135000"/>
            </a:schemeClr>
            <a:prstClr val="white"/>
          </a:duotone>
        </a:blip>
        <a:stretch>
          <a:fillRect/>
        </a:stretch>
      </xdr:blipFill>
      <xdr:spPr>
        <a:xfrm>
          <a:off x="285751" y="5210175"/>
          <a:ext cx="504829" cy="504829"/>
        </a:xfrm>
        <a:prstGeom prst="rect">
          <a:avLst/>
        </a:prstGeom>
      </xdr:spPr>
    </xdr:pic>
    <xdr:clientData/>
  </xdr:twoCellAnchor>
  <xdr:twoCellAnchor>
    <xdr:from>
      <xdr:col>0</xdr:col>
      <xdr:colOff>90487</xdr:colOff>
      <xdr:row>6</xdr:row>
      <xdr:rowOff>119063</xdr:rowOff>
    </xdr:from>
    <xdr:to>
      <xdr:col>1</xdr:col>
      <xdr:colOff>357187</xdr:colOff>
      <xdr:row>8</xdr:row>
      <xdr:rowOff>119063</xdr:rowOff>
    </xdr:to>
    <xdr:sp macro="[0]!Clear_Filter" textlink="">
      <xdr:nvSpPr>
        <xdr:cNvPr id="74" name="Rectangle 73">
          <a:extLst>
            <a:ext uri="{FF2B5EF4-FFF2-40B4-BE49-F238E27FC236}">
              <a16:creationId xmlns:a16="http://schemas.microsoft.com/office/drawing/2014/main" id="{09C6695B-D137-4B57-A8F7-6772760BC2ED}"/>
            </a:ext>
          </a:extLst>
        </xdr:cNvPr>
        <xdr:cNvSpPr/>
      </xdr:nvSpPr>
      <xdr:spPr>
        <a:xfrm>
          <a:off x="90487" y="1204913"/>
          <a:ext cx="914400" cy="361950"/>
        </a:xfrm>
        <a:prstGeom prst="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tx1"/>
              </a:solidFill>
            </a:rPr>
            <a:t>Clear Filter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500063</xdr:colOff>
      <xdr:row>0</xdr:row>
      <xdr:rowOff>4762</xdr:rowOff>
    </xdr:from>
    <xdr:to>
      <xdr:col>20</xdr:col>
      <xdr:colOff>619123</xdr:colOff>
      <xdr:row>40</xdr:row>
      <xdr:rowOff>4762</xdr:rowOff>
    </xdr:to>
    <xdr:sp macro="" textlink="">
      <xdr:nvSpPr>
        <xdr:cNvPr id="2" name="Arrow: Pentagon 1">
          <a:extLst>
            <a:ext uri="{FF2B5EF4-FFF2-40B4-BE49-F238E27FC236}">
              <a16:creationId xmlns:a16="http://schemas.microsoft.com/office/drawing/2014/main" id="{9836D7CE-40A4-4BB1-9B55-9A8B2675AE0E}"/>
            </a:ext>
          </a:extLst>
        </xdr:cNvPr>
        <xdr:cNvSpPr/>
      </xdr:nvSpPr>
      <xdr:spPr>
        <a:xfrm flipH="1">
          <a:off x="2443163" y="4762"/>
          <a:ext cx="11129960" cy="7239000"/>
        </a:xfrm>
        <a:prstGeom prst="homePlate">
          <a:avLst>
            <a:gd name="adj" fmla="val 17711"/>
          </a:avLst>
        </a:prstGeom>
        <a:gradFill flip="none" rotWithShape="1">
          <a:gsLst>
            <a:gs pos="39000">
              <a:schemeClr val="bg2">
                <a:alpha val="57000"/>
                <a:lumMod val="0"/>
              </a:schemeClr>
            </a:gs>
            <a:gs pos="63000">
              <a:schemeClr val="tx1">
                <a:lumMod val="0"/>
                <a:alpha val="54000"/>
              </a:schemeClr>
            </a:gs>
            <a:gs pos="100000">
              <a:schemeClr val="tx1">
                <a:lumMod val="0"/>
              </a:schemeClr>
            </a:gs>
            <a:gs pos="0">
              <a:schemeClr val="bg2">
                <a:lumMod val="1100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552449</xdr:colOff>
      <xdr:row>0</xdr:row>
      <xdr:rowOff>0</xdr:rowOff>
    </xdr:from>
    <xdr:to>
      <xdr:col>20</xdr:col>
      <xdr:colOff>571497</xdr:colOff>
      <xdr:row>40</xdr:row>
      <xdr:rowOff>0</xdr:rowOff>
    </xdr:to>
    <xdr:sp macro="" textlink="">
      <xdr:nvSpPr>
        <xdr:cNvPr id="3" name="Arrow: Pentagon 2">
          <a:extLst>
            <a:ext uri="{FF2B5EF4-FFF2-40B4-BE49-F238E27FC236}">
              <a16:creationId xmlns:a16="http://schemas.microsoft.com/office/drawing/2014/main" id="{3881C8BC-B980-4CA6-B40B-F5DBDCF214B2}"/>
            </a:ext>
          </a:extLst>
        </xdr:cNvPr>
        <xdr:cNvSpPr/>
      </xdr:nvSpPr>
      <xdr:spPr>
        <a:xfrm flipH="1">
          <a:off x="3790949" y="0"/>
          <a:ext cx="9734548" cy="7239000"/>
        </a:xfrm>
        <a:prstGeom prst="homePlate">
          <a:avLst>
            <a:gd name="adj" fmla="val 17711"/>
          </a:avLst>
        </a:prstGeom>
        <a:gradFill flip="none" rotWithShape="1">
          <a:gsLst>
            <a:gs pos="52000">
              <a:schemeClr val="tx1">
                <a:lumMod val="95000"/>
                <a:lumOff val="5000"/>
              </a:schemeClr>
            </a:gs>
            <a:gs pos="38000">
              <a:schemeClr val="tx1">
                <a:lumMod val="85000"/>
                <a:lumOff val="15000"/>
              </a:schemeClr>
            </a:gs>
            <a:gs pos="98000">
              <a:schemeClr val="tx1">
                <a:lumMod val="74000"/>
                <a:lumOff val="26000"/>
              </a:schemeClr>
            </a:gs>
            <a:gs pos="0">
              <a:schemeClr val="tx1">
                <a:alpha val="49000"/>
                <a:lumMod val="59000"/>
                <a:lumOff val="4100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509587</xdr:colOff>
      <xdr:row>0</xdr:row>
      <xdr:rowOff>14288</xdr:rowOff>
    </xdr:from>
    <xdr:to>
      <xdr:col>20</xdr:col>
      <xdr:colOff>581022</xdr:colOff>
      <xdr:row>40</xdr:row>
      <xdr:rowOff>14288</xdr:rowOff>
    </xdr:to>
    <xdr:sp macro="" textlink="">
      <xdr:nvSpPr>
        <xdr:cNvPr id="4" name="Arrow: Pentagon 3">
          <a:extLst>
            <a:ext uri="{FF2B5EF4-FFF2-40B4-BE49-F238E27FC236}">
              <a16:creationId xmlns:a16="http://schemas.microsoft.com/office/drawing/2014/main" id="{5567B302-723C-4842-9717-EAF44451FA24}"/>
            </a:ext>
          </a:extLst>
        </xdr:cNvPr>
        <xdr:cNvSpPr/>
      </xdr:nvSpPr>
      <xdr:spPr>
        <a:xfrm flipH="1">
          <a:off x="5043487" y="14288"/>
          <a:ext cx="8491535" cy="7239000"/>
        </a:xfrm>
        <a:prstGeom prst="homePlate">
          <a:avLst>
            <a:gd name="adj" fmla="val 17711"/>
          </a:avLst>
        </a:prstGeom>
        <a:gradFill flip="none" rotWithShape="1">
          <a:gsLst>
            <a:gs pos="86000">
              <a:schemeClr val="tx1">
                <a:lumMod val="93000"/>
                <a:lumOff val="7000"/>
              </a:schemeClr>
            </a:gs>
            <a:gs pos="60000">
              <a:schemeClr val="tx1">
                <a:lumMod val="75000"/>
                <a:lumOff val="25000"/>
                <a:alpha val="60000"/>
              </a:schemeClr>
            </a:gs>
            <a:gs pos="22000">
              <a:schemeClr val="tx1">
                <a:lumMod val="97000"/>
                <a:lumOff val="3000"/>
                <a:alpha val="9000"/>
              </a:schemeClr>
            </a:gs>
            <a:gs pos="0">
              <a:schemeClr val="tx1">
                <a:alpha val="68000"/>
                <a:lumMod val="6500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438149</xdr:colOff>
      <xdr:row>0</xdr:row>
      <xdr:rowOff>14288</xdr:rowOff>
    </xdr:from>
    <xdr:to>
      <xdr:col>20</xdr:col>
      <xdr:colOff>514348</xdr:colOff>
      <xdr:row>40</xdr:row>
      <xdr:rowOff>14288</xdr:rowOff>
    </xdr:to>
    <xdr:sp macro="" textlink="">
      <xdr:nvSpPr>
        <xdr:cNvPr id="5" name="Arrow: Pentagon 4">
          <a:extLst>
            <a:ext uri="{FF2B5EF4-FFF2-40B4-BE49-F238E27FC236}">
              <a16:creationId xmlns:a16="http://schemas.microsoft.com/office/drawing/2014/main" id="{21F9580A-633C-4D69-9FB0-189DCB5C1FBE}"/>
            </a:ext>
          </a:extLst>
        </xdr:cNvPr>
        <xdr:cNvSpPr/>
      </xdr:nvSpPr>
      <xdr:spPr>
        <a:xfrm flipH="1">
          <a:off x="6267449" y="14288"/>
          <a:ext cx="7200899" cy="7239000"/>
        </a:xfrm>
        <a:prstGeom prst="homePlate">
          <a:avLst>
            <a:gd name="adj" fmla="val 17711"/>
          </a:avLst>
        </a:prstGeom>
        <a:gradFill flip="none" rotWithShape="1">
          <a:gsLst>
            <a:gs pos="49000">
              <a:schemeClr val="tx1">
                <a:lumMod val="80000"/>
              </a:schemeClr>
            </a:gs>
            <a:gs pos="79000">
              <a:srgbClr val="2D2D2D"/>
            </a:gs>
            <a:gs pos="100000">
              <a:schemeClr val="tx1">
                <a:lumMod val="56000"/>
                <a:lumOff val="44000"/>
                <a:alpha val="54000"/>
              </a:schemeClr>
            </a:gs>
            <a:gs pos="65000">
              <a:schemeClr val="tx1">
                <a:lumMod val="32000"/>
                <a:alpha val="49000"/>
              </a:schemeClr>
            </a:gs>
            <a:gs pos="26000">
              <a:schemeClr val="tx1">
                <a:lumMod val="87000"/>
                <a:lumOff val="13000"/>
              </a:schemeClr>
            </a:gs>
            <a:gs pos="0">
              <a:schemeClr val="tx1">
                <a:lumMod val="82000"/>
                <a:lumOff val="1800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28574</xdr:colOff>
      <xdr:row>0</xdr:row>
      <xdr:rowOff>19050</xdr:rowOff>
    </xdr:from>
    <xdr:to>
      <xdr:col>21</xdr:col>
      <xdr:colOff>71436</xdr:colOff>
      <xdr:row>40</xdr:row>
      <xdr:rowOff>19050</xdr:rowOff>
    </xdr:to>
    <xdr:sp macro="" textlink="">
      <xdr:nvSpPr>
        <xdr:cNvPr id="6" name="Arrow: Pentagon 5">
          <a:extLst>
            <a:ext uri="{FF2B5EF4-FFF2-40B4-BE49-F238E27FC236}">
              <a16:creationId xmlns:a16="http://schemas.microsoft.com/office/drawing/2014/main" id="{FE79A2BE-EF27-417E-A141-84AB50E5110A}"/>
            </a:ext>
          </a:extLst>
        </xdr:cNvPr>
        <xdr:cNvSpPr/>
      </xdr:nvSpPr>
      <xdr:spPr>
        <a:xfrm flipH="1">
          <a:off x="7800974" y="19050"/>
          <a:ext cx="5872162" cy="7239000"/>
        </a:xfrm>
        <a:prstGeom prst="homePlate">
          <a:avLst>
            <a:gd name="adj" fmla="val 17711"/>
          </a:avLst>
        </a:prstGeom>
        <a:gradFill flip="none" rotWithShape="1">
          <a:gsLst>
            <a:gs pos="50000">
              <a:schemeClr val="tx1">
                <a:lumMod val="73000"/>
                <a:lumOff val="27000"/>
              </a:schemeClr>
            </a:gs>
            <a:gs pos="100000">
              <a:schemeClr val="tx1">
                <a:lumMod val="80000"/>
                <a:lumOff val="20000"/>
              </a:schemeClr>
            </a:gs>
            <a:gs pos="71000">
              <a:schemeClr val="tx1">
                <a:lumMod val="80000"/>
                <a:lumOff val="20000"/>
              </a:schemeClr>
            </a:gs>
            <a:gs pos="22000">
              <a:schemeClr val="tx1">
                <a:lumMod val="86000"/>
                <a:lumOff val="14000"/>
              </a:schemeClr>
            </a:gs>
            <a:gs pos="0">
              <a:schemeClr val="tx1">
                <a:lumMod val="95000"/>
                <a:lumOff val="5000"/>
                <a:alpha val="44000"/>
              </a:scheme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600073</xdr:colOff>
      <xdr:row>2</xdr:row>
      <xdr:rowOff>47627</xdr:rowOff>
    </xdr:from>
    <xdr:to>
      <xdr:col>13</xdr:col>
      <xdr:colOff>581025</xdr:colOff>
      <xdr:row>6</xdr:row>
      <xdr:rowOff>119062</xdr:rowOff>
    </xdr:to>
    <xdr:sp macro="" textlink="">
      <xdr:nvSpPr>
        <xdr:cNvPr id="7" name="Rectangle: Rounded Corners 6">
          <a:extLst>
            <a:ext uri="{FF2B5EF4-FFF2-40B4-BE49-F238E27FC236}">
              <a16:creationId xmlns:a16="http://schemas.microsoft.com/office/drawing/2014/main" id="{D4A05394-0976-431D-97E5-E0C425303F75}"/>
            </a:ext>
          </a:extLst>
        </xdr:cNvPr>
        <xdr:cNvSpPr/>
      </xdr:nvSpPr>
      <xdr:spPr>
        <a:xfrm>
          <a:off x="1247773" y="409577"/>
          <a:ext cx="7753352" cy="795335"/>
        </a:xfrm>
        <a:prstGeom prst="roundRect">
          <a:avLst>
            <a:gd name="adj" fmla="val 11459"/>
          </a:avLst>
        </a:prstGeom>
        <a:solidFill>
          <a:schemeClr val="tx1">
            <a:lumMod val="95000"/>
            <a:lumOff val="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1"/>
            </a:solidFill>
          </a:endParaRPr>
        </a:p>
      </xdr:txBody>
    </xdr:sp>
    <xdr:clientData/>
  </xdr:twoCellAnchor>
  <xdr:twoCellAnchor>
    <xdr:from>
      <xdr:col>0</xdr:col>
      <xdr:colOff>109534</xdr:colOff>
      <xdr:row>1</xdr:row>
      <xdr:rowOff>28578</xdr:rowOff>
    </xdr:from>
    <xdr:to>
      <xdr:col>1</xdr:col>
      <xdr:colOff>371474</xdr:colOff>
      <xdr:row>39</xdr:row>
      <xdr:rowOff>57151</xdr:rowOff>
    </xdr:to>
    <xdr:sp macro="" textlink="">
      <xdr:nvSpPr>
        <xdr:cNvPr id="8" name="Rectangle: Rounded Corners 7">
          <a:extLst>
            <a:ext uri="{FF2B5EF4-FFF2-40B4-BE49-F238E27FC236}">
              <a16:creationId xmlns:a16="http://schemas.microsoft.com/office/drawing/2014/main" id="{80E031E7-E343-4BD0-A74E-FC30DC165CD7}"/>
            </a:ext>
          </a:extLst>
        </xdr:cNvPr>
        <xdr:cNvSpPr/>
      </xdr:nvSpPr>
      <xdr:spPr>
        <a:xfrm>
          <a:off x="109534" y="209553"/>
          <a:ext cx="909640" cy="6905623"/>
        </a:xfrm>
        <a:prstGeom prst="roundRect">
          <a:avLst>
            <a:gd name="adj" fmla="val 11459"/>
          </a:avLst>
        </a:prstGeom>
        <a:solidFill>
          <a:schemeClr val="bg2">
            <a:lumMod val="10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2</xdr:col>
      <xdr:colOff>108952</xdr:colOff>
      <xdr:row>2</xdr:row>
      <xdr:rowOff>100012</xdr:rowOff>
    </xdr:from>
    <xdr:ext cx="1487072" cy="371475"/>
    <xdr:sp macro="" textlink="">
      <xdr:nvSpPr>
        <xdr:cNvPr id="9" name="TextBox 8">
          <a:extLst>
            <a:ext uri="{FF2B5EF4-FFF2-40B4-BE49-F238E27FC236}">
              <a16:creationId xmlns:a16="http://schemas.microsoft.com/office/drawing/2014/main" id="{6B45DEF1-9D77-4D57-847C-EAC9A9FC4F9F}"/>
            </a:ext>
          </a:extLst>
        </xdr:cNvPr>
        <xdr:cNvSpPr txBox="1"/>
      </xdr:nvSpPr>
      <xdr:spPr>
        <a:xfrm>
          <a:off x="1404352" y="461962"/>
          <a:ext cx="1487072"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Total</a:t>
          </a:r>
          <a:r>
            <a:rPr lang="en-IN" sz="1200" b="1" baseline="0">
              <a:solidFill>
                <a:schemeClr val="bg1"/>
              </a:solidFill>
              <a:latin typeface="Arial" panose="020B0604020202020204" pitchFamily="34" charset="0"/>
              <a:cs typeface="Arial" panose="020B0604020202020204" pitchFamily="34" charset="0"/>
            </a:rPr>
            <a:t> Passangers</a:t>
          </a:r>
          <a:endParaRPr lang="en-IN" sz="1200" b="1">
            <a:solidFill>
              <a:schemeClr val="bg1"/>
            </a:solidFill>
            <a:latin typeface="Arial" panose="020B0604020202020204" pitchFamily="34" charset="0"/>
            <a:cs typeface="Arial" panose="020B0604020202020204" pitchFamily="34" charset="0"/>
          </a:endParaRPr>
        </a:p>
      </xdr:txBody>
    </xdr:sp>
    <xdr:clientData/>
  </xdr:oneCellAnchor>
  <xdr:oneCellAnchor>
    <xdr:from>
      <xdr:col>5</xdr:col>
      <xdr:colOff>5339</xdr:colOff>
      <xdr:row>2</xdr:row>
      <xdr:rowOff>100012</xdr:rowOff>
    </xdr:from>
    <xdr:ext cx="1613334" cy="371475"/>
    <xdr:sp macro="" textlink="">
      <xdr:nvSpPr>
        <xdr:cNvPr id="10" name="TextBox 9">
          <a:extLst>
            <a:ext uri="{FF2B5EF4-FFF2-40B4-BE49-F238E27FC236}">
              <a16:creationId xmlns:a16="http://schemas.microsoft.com/office/drawing/2014/main" id="{B88FEF18-740E-4A24-B5BC-A2EFBB2E6685}"/>
            </a:ext>
          </a:extLst>
        </xdr:cNvPr>
        <xdr:cNvSpPr txBox="1"/>
      </xdr:nvSpPr>
      <xdr:spPr>
        <a:xfrm>
          <a:off x="3243839" y="461962"/>
          <a:ext cx="1613334"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Avg. Rider Per Trip</a:t>
          </a:r>
        </a:p>
      </xdr:txBody>
    </xdr:sp>
    <xdr:clientData/>
  </xdr:oneCellAnchor>
  <xdr:oneCellAnchor>
    <xdr:from>
      <xdr:col>7</xdr:col>
      <xdr:colOff>639969</xdr:colOff>
      <xdr:row>2</xdr:row>
      <xdr:rowOff>100012</xdr:rowOff>
    </xdr:from>
    <xdr:ext cx="1487072" cy="371475"/>
    <xdr:sp macro="" textlink="">
      <xdr:nvSpPr>
        <xdr:cNvPr id="11" name="TextBox 10">
          <a:extLst>
            <a:ext uri="{FF2B5EF4-FFF2-40B4-BE49-F238E27FC236}">
              <a16:creationId xmlns:a16="http://schemas.microsoft.com/office/drawing/2014/main" id="{764C1503-79BB-4487-B2AE-7A9820E91288}"/>
            </a:ext>
          </a:extLst>
        </xdr:cNvPr>
        <xdr:cNvSpPr txBox="1"/>
      </xdr:nvSpPr>
      <xdr:spPr>
        <a:xfrm>
          <a:off x="5173869" y="461962"/>
          <a:ext cx="1487072"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Revenue</a:t>
          </a:r>
        </a:p>
      </xdr:txBody>
    </xdr:sp>
    <xdr:clientData/>
  </xdr:oneCellAnchor>
  <xdr:oneCellAnchor>
    <xdr:from>
      <xdr:col>10</xdr:col>
      <xdr:colOff>547100</xdr:colOff>
      <xdr:row>2</xdr:row>
      <xdr:rowOff>100012</xdr:rowOff>
    </xdr:from>
    <xdr:ext cx="1487072" cy="371475"/>
    <xdr:sp macro="" textlink="">
      <xdr:nvSpPr>
        <xdr:cNvPr id="12" name="TextBox 11">
          <a:extLst>
            <a:ext uri="{FF2B5EF4-FFF2-40B4-BE49-F238E27FC236}">
              <a16:creationId xmlns:a16="http://schemas.microsoft.com/office/drawing/2014/main" id="{A723C676-1FD1-44AF-840A-85E69D96758A}"/>
            </a:ext>
          </a:extLst>
        </xdr:cNvPr>
        <xdr:cNvSpPr txBox="1"/>
      </xdr:nvSpPr>
      <xdr:spPr>
        <a:xfrm>
          <a:off x="7024100" y="461962"/>
          <a:ext cx="1487072"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Total Trip</a:t>
          </a:r>
        </a:p>
      </xdr:txBody>
    </xdr:sp>
    <xdr:clientData/>
  </xdr:oneCellAnchor>
  <xdr:oneCellAnchor>
    <xdr:from>
      <xdr:col>2</xdr:col>
      <xdr:colOff>94665</xdr:colOff>
      <xdr:row>4</xdr:row>
      <xdr:rowOff>128586</xdr:rowOff>
    </xdr:from>
    <xdr:ext cx="1487072" cy="371475"/>
    <xdr:sp macro="" textlink="Analysis!B7">
      <xdr:nvSpPr>
        <xdr:cNvPr id="13" name="TextBox 12">
          <a:extLst>
            <a:ext uri="{FF2B5EF4-FFF2-40B4-BE49-F238E27FC236}">
              <a16:creationId xmlns:a16="http://schemas.microsoft.com/office/drawing/2014/main" id="{7EA2A640-241E-48D7-B63B-6F076525F9C3}"/>
            </a:ext>
          </a:extLst>
        </xdr:cNvPr>
        <xdr:cNvSpPr txBox="1"/>
      </xdr:nvSpPr>
      <xdr:spPr>
        <a:xfrm>
          <a:off x="1390065" y="852486"/>
          <a:ext cx="1487072"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02038553-A058-4E87-825A-192E7D954B4F}" type="TxLink">
            <a:rPr lang="en-US" sz="1800" b="1" i="0" u="none" strike="noStrike">
              <a:solidFill>
                <a:schemeClr val="bg1"/>
              </a:solidFill>
              <a:latin typeface="Aptos Narrow"/>
              <a:cs typeface="Arial" panose="020B0604020202020204" pitchFamily="34" charset="0"/>
            </a:rPr>
            <a:pPr algn="ctr"/>
            <a:t>6587</a:t>
          </a:fld>
          <a:endParaRPr lang="en-IN" sz="3600" b="1">
            <a:solidFill>
              <a:schemeClr val="bg1"/>
            </a:solidFill>
            <a:latin typeface="Arial" panose="020B0604020202020204" pitchFamily="34" charset="0"/>
            <a:cs typeface="Arial" panose="020B0604020202020204" pitchFamily="34" charset="0"/>
          </a:endParaRPr>
        </a:p>
      </xdr:txBody>
    </xdr:sp>
    <xdr:clientData/>
  </xdr:oneCellAnchor>
  <xdr:oneCellAnchor>
    <xdr:from>
      <xdr:col>5</xdr:col>
      <xdr:colOff>68470</xdr:colOff>
      <xdr:row>4</xdr:row>
      <xdr:rowOff>123824</xdr:rowOff>
    </xdr:from>
    <xdr:ext cx="1487072" cy="371475"/>
    <xdr:sp macro="" textlink="Analysis!C7">
      <xdr:nvSpPr>
        <xdr:cNvPr id="14" name="TextBox 13">
          <a:extLst>
            <a:ext uri="{FF2B5EF4-FFF2-40B4-BE49-F238E27FC236}">
              <a16:creationId xmlns:a16="http://schemas.microsoft.com/office/drawing/2014/main" id="{B924D422-6679-4C4E-B6B6-60F7AB189764}"/>
            </a:ext>
          </a:extLst>
        </xdr:cNvPr>
        <xdr:cNvSpPr txBox="1"/>
      </xdr:nvSpPr>
      <xdr:spPr>
        <a:xfrm>
          <a:off x="3306970" y="847724"/>
          <a:ext cx="1487072"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9446DB1-47FD-4A7C-A83F-9753C62CA3C3}" type="TxLink">
            <a:rPr lang="en-US" sz="1800" b="1" i="0" u="none" strike="noStrike">
              <a:solidFill>
                <a:schemeClr val="bg1"/>
              </a:solidFill>
              <a:latin typeface="Aptos Narrow"/>
              <a:ea typeface="+mn-ea"/>
              <a:cs typeface="Arial" panose="020B0604020202020204" pitchFamily="34" charset="0"/>
            </a:rPr>
            <a:pPr marL="0" indent="0" algn="ctr"/>
            <a:t>33</a:t>
          </a:fld>
          <a:endParaRPr lang="en-IN" sz="1800" b="1" i="0" u="none" strike="noStrike">
            <a:solidFill>
              <a:schemeClr val="bg1"/>
            </a:solidFill>
            <a:latin typeface="Aptos Narrow"/>
            <a:ea typeface="+mn-ea"/>
            <a:cs typeface="Arial" panose="020B0604020202020204" pitchFamily="34" charset="0"/>
          </a:endParaRPr>
        </a:p>
      </xdr:txBody>
    </xdr:sp>
    <xdr:clientData/>
  </xdr:oneCellAnchor>
  <xdr:oneCellAnchor>
    <xdr:from>
      <xdr:col>7</xdr:col>
      <xdr:colOff>639969</xdr:colOff>
      <xdr:row>4</xdr:row>
      <xdr:rowOff>95249</xdr:rowOff>
    </xdr:from>
    <xdr:ext cx="1487072" cy="371475"/>
    <xdr:sp macro="" textlink="Analysis!AH7">
      <xdr:nvSpPr>
        <xdr:cNvPr id="15" name="TextBox 14">
          <a:extLst>
            <a:ext uri="{FF2B5EF4-FFF2-40B4-BE49-F238E27FC236}">
              <a16:creationId xmlns:a16="http://schemas.microsoft.com/office/drawing/2014/main" id="{D007ACF2-B5BB-41EF-8FCF-F6A3E89BBCEA}"/>
            </a:ext>
          </a:extLst>
        </xdr:cNvPr>
        <xdr:cNvSpPr txBox="1"/>
      </xdr:nvSpPr>
      <xdr:spPr>
        <a:xfrm>
          <a:off x="5173869" y="819149"/>
          <a:ext cx="1487072"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6911FC3-DD9C-45CB-8E48-B1B66886A4B1}" type="TxLink">
            <a:rPr lang="en-US" sz="1800" b="1" i="0" u="none" strike="noStrike">
              <a:solidFill>
                <a:schemeClr val="bg1"/>
              </a:solidFill>
              <a:latin typeface="Aptos Narrow"/>
              <a:ea typeface="+mn-ea"/>
              <a:cs typeface="Arial" panose="020B0604020202020204" pitchFamily="34" charset="0"/>
            </a:rPr>
            <a:pPr marL="0" indent="0" algn="ctr"/>
            <a:t> $254,510 </a:t>
          </a:fld>
          <a:endParaRPr lang="en-IN" sz="1800" b="1" i="0" u="none" strike="noStrike">
            <a:solidFill>
              <a:schemeClr val="bg1"/>
            </a:solidFill>
            <a:latin typeface="Aptos Narrow"/>
            <a:ea typeface="+mn-ea"/>
            <a:cs typeface="Arial" panose="020B0604020202020204" pitchFamily="34" charset="0"/>
          </a:endParaRPr>
        </a:p>
      </xdr:txBody>
    </xdr:sp>
    <xdr:clientData/>
  </xdr:oneCellAnchor>
  <xdr:oneCellAnchor>
    <xdr:from>
      <xdr:col>10</xdr:col>
      <xdr:colOff>547100</xdr:colOff>
      <xdr:row>4</xdr:row>
      <xdr:rowOff>95249</xdr:rowOff>
    </xdr:from>
    <xdr:ext cx="1487072" cy="371475"/>
    <xdr:sp macro="" textlink="Analysis!AH11">
      <xdr:nvSpPr>
        <xdr:cNvPr id="16" name="TextBox 15">
          <a:extLst>
            <a:ext uri="{FF2B5EF4-FFF2-40B4-BE49-F238E27FC236}">
              <a16:creationId xmlns:a16="http://schemas.microsoft.com/office/drawing/2014/main" id="{52296465-03BA-48F3-B23A-301B786D0502}"/>
            </a:ext>
          </a:extLst>
        </xdr:cNvPr>
        <xdr:cNvSpPr txBox="1"/>
      </xdr:nvSpPr>
      <xdr:spPr>
        <a:xfrm>
          <a:off x="7024100" y="819149"/>
          <a:ext cx="1487072"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92833EF1-9436-44E1-B001-A23132C4FFC4}" type="TxLink">
            <a:rPr lang="en-US" sz="1800" b="1" i="0" u="none" strike="noStrike">
              <a:solidFill>
                <a:schemeClr val="bg1"/>
              </a:solidFill>
              <a:latin typeface="Aptos Narrow"/>
              <a:ea typeface="+mn-ea"/>
              <a:cs typeface="Arial" panose="020B0604020202020204" pitchFamily="34" charset="0"/>
            </a:rPr>
            <a:pPr marL="0" indent="0" algn="ctr"/>
            <a:t>200</a:t>
          </a:fld>
          <a:endParaRPr lang="en-IN" sz="1800" b="1" i="0" u="none" strike="noStrike">
            <a:solidFill>
              <a:schemeClr val="bg1"/>
            </a:solidFill>
            <a:latin typeface="Aptos Narrow"/>
            <a:ea typeface="+mn-ea"/>
            <a:cs typeface="Arial" panose="020B0604020202020204" pitchFamily="34" charset="0"/>
          </a:endParaRPr>
        </a:p>
      </xdr:txBody>
    </xdr:sp>
    <xdr:clientData/>
  </xdr:oneCellAnchor>
  <xdr:twoCellAnchor>
    <xdr:from>
      <xdr:col>2</xdr:col>
      <xdr:colOff>90487</xdr:colOff>
      <xdr:row>4</xdr:row>
      <xdr:rowOff>71437</xdr:rowOff>
    </xdr:from>
    <xdr:to>
      <xdr:col>13</xdr:col>
      <xdr:colOff>200648</xdr:colOff>
      <xdr:row>4</xdr:row>
      <xdr:rowOff>85725</xdr:rowOff>
    </xdr:to>
    <xdr:cxnSp macro="">
      <xdr:nvCxnSpPr>
        <xdr:cNvPr id="17" name="Straight Connector 16">
          <a:extLst>
            <a:ext uri="{FF2B5EF4-FFF2-40B4-BE49-F238E27FC236}">
              <a16:creationId xmlns:a16="http://schemas.microsoft.com/office/drawing/2014/main" id="{ADC5F235-85FF-4B8F-81B7-E48FF736786B}"/>
            </a:ext>
          </a:extLst>
        </xdr:cNvPr>
        <xdr:cNvCxnSpPr/>
      </xdr:nvCxnSpPr>
      <xdr:spPr>
        <a:xfrm flipV="1">
          <a:off x="1385887" y="795337"/>
          <a:ext cx="7234861" cy="14288"/>
        </a:xfrm>
        <a:prstGeom prst="line">
          <a:avLst/>
        </a:prstGeom>
        <a:ln w="15875">
          <a:solidFill>
            <a:schemeClr val="bg2">
              <a:lumMod val="75000"/>
            </a:schemeClr>
          </a:solidFill>
        </a:ln>
        <a:effectLst>
          <a:outerShdw blurRad="50800" dist="38100" dir="16200000" rotWithShape="0">
            <a:prstClr val="black">
              <a:alpha val="40000"/>
            </a:prstClr>
          </a:outerShd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153519</xdr:colOff>
      <xdr:row>4</xdr:row>
      <xdr:rowOff>9526</xdr:rowOff>
    </xdr:from>
    <xdr:to>
      <xdr:col>3</xdr:col>
      <xdr:colOff>275105</xdr:colOff>
      <xdr:row>4</xdr:row>
      <xdr:rowOff>171451</xdr:rowOff>
    </xdr:to>
    <xdr:sp macro="" textlink="">
      <xdr:nvSpPr>
        <xdr:cNvPr id="18" name="Flowchart: Sort 17">
          <a:extLst>
            <a:ext uri="{FF2B5EF4-FFF2-40B4-BE49-F238E27FC236}">
              <a16:creationId xmlns:a16="http://schemas.microsoft.com/office/drawing/2014/main" id="{673A036B-0F0F-4CAF-A219-3D384F72D586}"/>
            </a:ext>
          </a:extLst>
        </xdr:cNvPr>
        <xdr:cNvSpPr/>
      </xdr:nvSpPr>
      <xdr:spPr>
        <a:xfrm>
          <a:off x="2096619" y="733426"/>
          <a:ext cx="121586" cy="161925"/>
        </a:xfrm>
        <a:prstGeom prst="flowChartSort">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96369</xdr:colOff>
      <xdr:row>4</xdr:row>
      <xdr:rowOff>9526</xdr:rowOff>
    </xdr:from>
    <xdr:to>
      <xdr:col>6</xdr:col>
      <xdr:colOff>217955</xdr:colOff>
      <xdr:row>4</xdr:row>
      <xdr:rowOff>171451</xdr:rowOff>
    </xdr:to>
    <xdr:sp macro="" textlink="">
      <xdr:nvSpPr>
        <xdr:cNvPr id="19" name="Flowchart: Sort 18">
          <a:extLst>
            <a:ext uri="{FF2B5EF4-FFF2-40B4-BE49-F238E27FC236}">
              <a16:creationId xmlns:a16="http://schemas.microsoft.com/office/drawing/2014/main" id="{42AAB567-7BBB-4065-B0CB-B0EA032DFAFC}"/>
            </a:ext>
          </a:extLst>
        </xdr:cNvPr>
        <xdr:cNvSpPr/>
      </xdr:nvSpPr>
      <xdr:spPr>
        <a:xfrm>
          <a:off x="3982569" y="733426"/>
          <a:ext cx="121586" cy="161925"/>
        </a:xfrm>
        <a:prstGeom prst="flowChartSort">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43982</xdr:colOff>
      <xdr:row>4</xdr:row>
      <xdr:rowOff>9526</xdr:rowOff>
    </xdr:from>
    <xdr:to>
      <xdr:col>9</xdr:col>
      <xdr:colOff>165568</xdr:colOff>
      <xdr:row>4</xdr:row>
      <xdr:rowOff>171451</xdr:rowOff>
    </xdr:to>
    <xdr:sp macro="" textlink="">
      <xdr:nvSpPr>
        <xdr:cNvPr id="20" name="Flowchart: Sort 19">
          <a:extLst>
            <a:ext uri="{FF2B5EF4-FFF2-40B4-BE49-F238E27FC236}">
              <a16:creationId xmlns:a16="http://schemas.microsoft.com/office/drawing/2014/main" id="{1EEFCCAA-2F50-44BC-A7BB-9EFB6292FA25}"/>
            </a:ext>
          </a:extLst>
        </xdr:cNvPr>
        <xdr:cNvSpPr/>
      </xdr:nvSpPr>
      <xdr:spPr>
        <a:xfrm>
          <a:off x="5873282" y="733426"/>
          <a:ext cx="121586" cy="161925"/>
        </a:xfrm>
        <a:prstGeom prst="flowChartSort">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639295</xdr:colOff>
      <xdr:row>4</xdr:row>
      <xdr:rowOff>9526</xdr:rowOff>
    </xdr:from>
    <xdr:to>
      <xdr:col>12</xdr:col>
      <xdr:colOff>113181</xdr:colOff>
      <xdr:row>4</xdr:row>
      <xdr:rowOff>171451</xdr:rowOff>
    </xdr:to>
    <xdr:sp macro="" textlink="">
      <xdr:nvSpPr>
        <xdr:cNvPr id="21" name="Flowchart: Sort 20">
          <a:extLst>
            <a:ext uri="{FF2B5EF4-FFF2-40B4-BE49-F238E27FC236}">
              <a16:creationId xmlns:a16="http://schemas.microsoft.com/office/drawing/2014/main" id="{DE6C6090-3C5C-4630-B2FC-AF535DDA6E17}"/>
            </a:ext>
          </a:extLst>
        </xdr:cNvPr>
        <xdr:cNvSpPr/>
      </xdr:nvSpPr>
      <xdr:spPr>
        <a:xfrm>
          <a:off x="7763995" y="733426"/>
          <a:ext cx="121586" cy="161925"/>
        </a:xfrm>
        <a:prstGeom prst="flowChartSort">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557211</xdr:colOff>
      <xdr:row>8</xdr:row>
      <xdr:rowOff>114302</xdr:rowOff>
    </xdr:from>
    <xdr:to>
      <xdr:col>6</xdr:col>
      <xdr:colOff>361951</xdr:colOff>
      <xdr:row>39</xdr:row>
      <xdr:rowOff>0</xdr:rowOff>
    </xdr:to>
    <xdr:grpSp>
      <xdr:nvGrpSpPr>
        <xdr:cNvPr id="22" name="Group 21">
          <a:extLst>
            <a:ext uri="{FF2B5EF4-FFF2-40B4-BE49-F238E27FC236}">
              <a16:creationId xmlns:a16="http://schemas.microsoft.com/office/drawing/2014/main" id="{56785156-95C9-422C-8DCE-F8C16FD6FA5B}"/>
            </a:ext>
          </a:extLst>
        </xdr:cNvPr>
        <xdr:cNvGrpSpPr/>
      </xdr:nvGrpSpPr>
      <xdr:grpSpPr>
        <a:xfrm>
          <a:off x="1157286" y="1562102"/>
          <a:ext cx="2805115" cy="5495923"/>
          <a:chOff x="1176335" y="1547815"/>
          <a:chExt cx="4605341" cy="3171823"/>
        </a:xfrm>
      </xdr:grpSpPr>
      <xdr:sp macro="" textlink="">
        <xdr:nvSpPr>
          <xdr:cNvPr id="23" name="Rectangle: Rounded Corners 22">
            <a:extLst>
              <a:ext uri="{FF2B5EF4-FFF2-40B4-BE49-F238E27FC236}">
                <a16:creationId xmlns:a16="http://schemas.microsoft.com/office/drawing/2014/main" id="{0C88E915-8134-33BA-8F5B-4A68E08892B2}"/>
              </a:ext>
            </a:extLst>
          </xdr:cNvPr>
          <xdr:cNvSpPr/>
        </xdr:nvSpPr>
        <xdr:spPr>
          <a:xfrm>
            <a:off x="1195385" y="1547815"/>
            <a:ext cx="4586291" cy="3162298"/>
          </a:xfrm>
          <a:prstGeom prst="roundRect">
            <a:avLst>
              <a:gd name="adj" fmla="val 6269"/>
            </a:avLst>
          </a:prstGeom>
          <a:solidFill>
            <a:schemeClr val="tx1">
              <a:lumMod val="65000"/>
              <a:lumOff val="3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4" name="Rectangle: Rounded Corners 23">
            <a:extLst>
              <a:ext uri="{FF2B5EF4-FFF2-40B4-BE49-F238E27FC236}">
                <a16:creationId xmlns:a16="http://schemas.microsoft.com/office/drawing/2014/main" id="{4FD20D92-41DF-8D37-9EB2-5BDB1DD5C9A8}"/>
              </a:ext>
            </a:extLst>
          </xdr:cNvPr>
          <xdr:cNvSpPr/>
        </xdr:nvSpPr>
        <xdr:spPr>
          <a:xfrm>
            <a:off x="1176335" y="1562102"/>
            <a:ext cx="4586291" cy="3157536"/>
          </a:xfrm>
          <a:prstGeom prst="roundRect">
            <a:avLst>
              <a:gd name="adj" fmla="val 6269"/>
            </a:avLst>
          </a:prstGeom>
          <a:solidFill>
            <a:schemeClr val="tx1">
              <a:lumMod val="95000"/>
              <a:lumOff val="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xdr:col>
      <xdr:colOff>571500</xdr:colOff>
      <xdr:row>11</xdr:row>
      <xdr:rowOff>142876</xdr:rowOff>
    </xdr:from>
    <xdr:to>
      <xdr:col>6</xdr:col>
      <xdr:colOff>333375</xdr:colOff>
      <xdr:row>35</xdr:row>
      <xdr:rowOff>19050</xdr:rowOff>
    </xdr:to>
    <xdr:graphicFrame macro="">
      <xdr:nvGraphicFramePr>
        <xdr:cNvPr id="85" name="Chart 84">
          <a:extLst>
            <a:ext uri="{FF2B5EF4-FFF2-40B4-BE49-F238E27FC236}">
              <a16:creationId xmlns:a16="http://schemas.microsoft.com/office/drawing/2014/main" id="{27086165-90D1-49FB-9BD2-F928817715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2</xdr:col>
      <xdr:colOff>19050</xdr:colOff>
      <xdr:row>9</xdr:row>
      <xdr:rowOff>4762</xdr:rowOff>
    </xdr:from>
    <xdr:ext cx="2728913" cy="304801"/>
    <xdr:sp macro="" textlink="">
      <xdr:nvSpPr>
        <xdr:cNvPr id="86" name="TextBox 85">
          <a:extLst>
            <a:ext uri="{FF2B5EF4-FFF2-40B4-BE49-F238E27FC236}">
              <a16:creationId xmlns:a16="http://schemas.microsoft.com/office/drawing/2014/main" id="{10AF04D9-9548-2C4B-C8A5-9FEFF4C18C09}"/>
            </a:ext>
          </a:extLst>
        </xdr:cNvPr>
        <xdr:cNvSpPr txBox="1"/>
      </xdr:nvSpPr>
      <xdr:spPr>
        <a:xfrm>
          <a:off x="1314450" y="1633537"/>
          <a:ext cx="2728913"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Total</a:t>
          </a:r>
          <a:r>
            <a:rPr lang="en-IN" sz="1200" b="1" baseline="0">
              <a:solidFill>
                <a:schemeClr val="bg1"/>
              </a:solidFill>
              <a:latin typeface="Arial" panose="020B0604020202020204" pitchFamily="34" charset="0"/>
              <a:cs typeface="Arial" panose="020B0604020202020204" pitchFamily="34" charset="0"/>
            </a:rPr>
            <a:t> Riders Distribution By Routes</a:t>
          </a:r>
          <a:endParaRPr lang="en-IN" sz="1200" b="1">
            <a:solidFill>
              <a:schemeClr val="bg1"/>
            </a:solidFill>
            <a:latin typeface="Arial" panose="020B0604020202020204" pitchFamily="34" charset="0"/>
            <a:cs typeface="Arial" panose="020B0604020202020204" pitchFamily="34" charset="0"/>
          </a:endParaRPr>
        </a:p>
      </xdr:txBody>
    </xdr:sp>
    <xdr:clientData/>
  </xdr:oneCellAnchor>
  <xdr:oneCellAnchor>
    <xdr:from>
      <xdr:col>1</xdr:col>
      <xdr:colOff>533400</xdr:colOff>
      <xdr:row>35</xdr:row>
      <xdr:rowOff>100013</xdr:rowOff>
    </xdr:from>
    <xdr:ext cx="2124075" cy="371475"/>
    <xdr:sp macro="" textlink="">
      <xdr:nvSpPr>
        <xdr:cNvPr id="87" name="TextBox 86">
          <a:extLst>
            <a:ext uri="{FF2B5EF4-FFF2-40B4-BE49-F238E27FC236}">
              <a16:creationId xmlns:a16="http://schemas.microsoft.com/office/drawing/2014/main" id="{C7FD49B9-B5BE-5223-0841-A9F32AB021B3}"/>
            </a:ext>
          </a:extLst>
        </xdr:cNvPr>
        <xdr:cNvSpPr txBox="1"/>
      </xdr:nvSpPr>
      <xdr:spPr>
        <a:xfrm>
          <a:off x="1181100" y="6434138"/>
          <a:ext cx="2124075"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050" b="0">
              <a:solidFill>
                <a:schemeClr val="bg1"/>
              </a:solidFill>
              <a:latin typeface="Arial" panose="020B0604020202020204" pitchFamily="34" charset="0"/>
              <a:cs typeface="Arial" panose="020B0604020202020204" pitchFamily="34" charset="0"/>
            </a:rPr>
            <a:t>Highlighted Area Contribute</a:t>
          </a:r>
          <a:r>
            <a:rPr lang="en-IN" sz="1050" b="0" baseline="0">
              <a:solidFill>
                <a:schemeClr val="bg1"/>
              </a:solidFill>
              <a:latin typeface="Arial" panose="020B0604020202020204" pitchFamily="34" charset="0"/>
              <a:cs typeface="Arial" panose="020B0604020202020204" pitchFamily="34" charset="0"/>
            </a:rPr>
            <a:t>s To</a:t>
          </a:r>
          <a:endParaRPr lang="en-IN" sz="1050" b="0">
            <a:solidFill>
              <a:schemeClr val="bg1"/>
            </a:solidFill>
            <a:latin typeface="Arial" panose="020B0604020202020204" pitchFamily="34" charset="0"/>
            <a:cs typeface="Arial" panose="020B0604020202020204" pitchFamily="34" charset="0"/>
          </a:endParaRPr>
        </a:p>
      </xdr:txBody>
    </xdr:sp>
    <xdr:clientData/>
  </xdr:oneCellAnchor>
  <xdr:oneCellAnchor>
    <xdr:from>
      <xdr:col>5</xdr:col>
      <xdr:colOff>4763</xdr:colOff>
      <xdr:row>35</xdr:row>
      <xdr:rowOff>80962</xdr:rowOff>
    </xdr:from>
    <xdr:ext cx="592930" cy="371475"/>
    <xdr:sp macro="" textlink="Analysis!AN31">
      <xdr:nvSpPr>
        <xdr:cNvPr id="88" name="TextBox 87">
          <a:extLst>
            <a:ext uri="{FF2B5EF4-FFF2-40B4-BE49-F238E27FC236}">
              <a16:creationId xmlns:a16="http://schemas.microsoft.com/office/drawing/2014/main" id="{82AB2A7B-0D19-FE97-F83E-3EBAAC4BCCA3}"/>
            </a:ext>
          </a:extLst>
        </xdr:cNvPr>
        <xdr:cNvSpPr txBox="1"/>
      </xdr:nvSpPr>
      <xdr:spPr>
        <a:xfrm>
          <a:off x="3243263" y="6415087"/>
          <a:ext cx="592930" cy="371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4574F2F0-C902-43EA-AF30-A2AD5929EC5D}" type="TxLink">
            <a:rPr lang="en-US" sz="2400" b="1" i="0" u="none" strike="noStrike">
              <a:solidFill>
                <a:srgbClr val="6D49F2"/>
              </a:solidFill>
              <a:latin typeface="Aptos Narrow"/>
              <a:ea typeface="+mn-ea"/>
              <a:cs typeface="Arial" panose="020B0604020202020204" pitchFamily="34" charset="0"/>
            </a:rPr>
            <a:pPr marL="0" indent="0" algn="ctr"/>
            <a:t>51%</a:t>
          </a:fld>
          <a:endParaRPr lang="en-IN" sz="4000" b="1" i="0" u="none" strike="noStrike">
            <a:solidFill>
              <a:srgbClr val="6D49F2"/>
            </a:solidFill>
            <a:latin typeface="Aptos Narrow"/>
            <a:ea typeface="+mn-ea"/>
            <a:cs typeface="Arial" panose="020B0604020202020204" pitchFamily="34" charset="0"/>
          </a:endParaRPr>
        </a:p>
      </xdr:txBody>
    </xdr:sp>
    <xdr:clientData/>
  </xdr:oneCellAnchor>
  <xdr:oneCellAnchor>
    <xdr:from>
      <xdr:col>4</xdr:col>
      <xdr:colOff>300038</xdr:colOff>
      <xdr:row>37</xdr:row>
      <xdr:rowOff>66675</xdr:rowOff>
    </xdr:from>
    <xdr:ext cx="962025" cy="147638"/>
    <xdr:sp macro="" textlink="">
      <xdr:nvSpPr>
        <xdr:cNvPr id="89" name="TextBox 88">
          <a:extLst>
            <a:ext uri="{FF2B5EF4-FFF2-40B4-BE49-F238E27FC236}">
              <a16:creationId xmlns:a16="http://schemas.microsoft.com/office/drawing/2014/main" id="{D11C05E6-29D2-E6BF-3F72-036E0D2922C8}"/>
            </a:ext>
          </a:extLst>
        </xdr:cNvPr>
        <xdr:cNvSpPr txBox="1"/>
      </xdr:nvSpPr>
      <xdr:spPr>
        <a:xfrm>
          <a:off x="2890838" y="6762750"/>
          <a:ext cx="962025" cy="1476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050" b="0">
              <a:solidFill>
                <a:schemeClr val="bg1"/>
              </a:solidFill>
              <a:latin typeface="Arial" panose="020B0604020202020204" pitchFamily="34" charset="0"/>
              <a:cs typeface="Arial" panose="020B0604020202020204" pitchFamily="34" charset="0"/>
            </a:rPr>
            <a:t>Of Total</a:t>
          </a:r>
          <a:r>
            <a:rPr lang="en-IN" sz="1050" b="0" baseline="0">
              <a:solidFill>
                <a:schemeClr val="bg1"/>
              </a:solidFill>
              <a:latin typeface="Arial" panose="020B0604020202020204" pitchFamily="34" charset="0"/>
              <a:cs typeface="Arial" panose="020B0604020202020204" pitchFamily="34" charset="0"/>
            </a:rPr>
            <a:t> Riders</a:t>
          </a:r>
          <a:endParaRPr lang="en-IN" sz="1050" b="0">
            <a:solidFill>
              <a:schemeClr val="bg1"/>
            </a:solidFill>
            <a:latin typeface="Arial" panose="020B0604020202020204" pitchFamily="34" charset="0"/>
            <a:cs typeface="Arial" panose="020B0604020202020204" pitchFamily="34" charset="0"/>
          </a:endParaRPr>
        </a:p>
      </xdr:txBody>
    </xdr:sp>
    <xdr:clientData/>
  </xdr:oneCellAnchor>
  <xdr:twoCellAnchor>
    <xdr:from>
      <xdr:col>6</xdr:col>
      <xdr:colOff>604838</xdr:colOff>
      <xdr:row>8</xdr:row>
      <xdr:rowOff>114302</xdr:rowOff>
    </xdr:from>
    <xdr:to>
      <xdr:col>11</xdr:col>
      <xdr:colOff>271464</xdr:colOff>
      <xdr:row>22</xdr:row>
      <xdr:rowOff>176212</xdr:rowOff>
    </xdr:to>
    <xdr:grpSp>
      <xdr:nvGrpSpPr>
        <xdr:cNvPr id="90" name="Group 89">
          <a:extLst>
            <a:ext uri="{FF2B5EF4-FFF2-40B4-BE49-F238E27FC236}">
              <a16:creationId xmlns:a16="http://schemas.microsoft.com/office/drawing/2014/main" id="{E3B57597-D3AE-B111-A338-70880E450D2D}"/>
            </a:ext>
          </a:extLst>
        </xdr:cNvPr>
        <xdr:cNvGrpSpPr/>
      </xdr:nvGrpSpPr>
      <xdr:grpSpPr>
        <a:xfrm>
          <a:off x="4195763" y="1562102"/>
          <a:ext cx="2676526" cy="2595560"/>
          <a:chOff x="1176335" y="1547815"/>
          <a:chExt cx="4605341" cy="3171823"/>
        </a:xfrm>
      </xdr:grpSpPr>
      <xdr:sp macro="" textlink="">
        <xdr:nvSpPr>
          <xdr:cNvPr id="91" name="Rectangle: Rounded Corners 90">
            <a:extLst>
              <a:ext uri="{FF2B5EF4-FFF2-40B4-BE49-F238E27FC236}">
                <a16:creationId xmlns:a16="http://schemas.microsoft.com/office/drawing/2014/main" id="{CCE3C85A-36DD-DDF9-29A4-AA601F0B7D93}"/>
              </a:ext>
            </a:extLst>
          </xdr:cNvPr>
          <xdr:cNvSpPr/>
        </xdr:nvSpPr>
        <xdr:spPr>
          <a:xfrm>
            <a:off x="1195385" y="1547815"/>
            <a:ext cx="4586291" cy="3162298"/>
          </a:xfrm>
          <a:prstGeom prst="roundRect">
            <a:avLst>
              <a:gd name="adj" fmla="val 6269"/>
            </a:avLst>
          </a:prstGeom>
          <a:solidFill>
            <a:schemeClr val="tx1">
              <a:lumMod val="65000"/>
              <a:lumOff val="3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2" name="Rectangle: Rounded Corners 91">
            <a:extLst>
              <a:ext uri="{FF2B5EF4-FFF2-40B4-BE49-F238E27FC236}">
                <a16:creationId xmlns:a16="http://schemas.microsoft.com/office/drawing/2014/main" id="{5C4CABC5-AC79-8D40-8DDC-C522E38B04C9}"/>
              </a:ext>
            </a:extLst>
          </xdr:cNvPr>
          <xdr:cNvSpPr/>
        </xdr:nvSpPr>
        <xdr:spPr>
          <a:xfrm>
            <a:off x="1176335" y="1562102"/>
            <a:ext cx="4586291" cy="3157536"/>
          </a:xfrm>
          <a:prstGeom prst="roundRect">
            <a:avLst>
              <a:gd name="adj" fmla="val 6269"/>
            </a:avLst>
          </a:prstGeom>
          <a:solidFill>
            <a:schemeClr val="tx1">
              <a:lumMod val="95000"/>
              <a:lumOff val="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11</xdr:col>
      <xdr:colOff>485775</xdr:colOff>
      <xdr:row>8</xdr:row>
      <xdr:rowOff>90490</xdr:rowOff>
    </xdr:from>
    <xdr:to>
      <xdr:col>16</xdr:col>
      <xdr:colOff>223839</xdr:colOff>
      <xdr:row>22</xdr:row>
      <xdr:rowOff>157162</xdr:rowOff>
    </xdr:to>
    <xdr:grpSp>
      <xdr:nvGrpSpPr>
        <xdr:cNvPr id="99" name="Group 98">
          <a:extLst>
            <a:ext uri="{FF2B5EF4-FFF2-40B4-BE49-F238E27FC236}">
              <a16:creationId xmlns:a16="http://schemas.microsoft.com/office/drawing/2014/main" id="{CAB9952E-5E74-34EC-71DE-6BC7868F204A}"/>
            </a:ext>
          </a:extLst>
        </xdr:cNvPr>
        <xdr:cNvGrpSpPr/>
      </xdr:nvGrpSpPr>
      <xdr:grpSpPr>
        <a:xfrm>
          <a:off x="7086600" y="1538290"/>
          <a:ext cx="2738439" cy="2600322"/>
          <a:chOff x="1176335" y="1547815"/>
          <a:chExt cx="4605341" cy="3171823"/>
        </a:xfrm>
      </xdr:grpSpPr>
      <xdr:sp macro="" textlink="">
        <xdr:nvSpPr>
          <xdr:cNvPr id="100" name="Rectangle: Rounded Corners 99">
            <a:extLst>
              <a:ext uri="{FF2B5EF4-FFF2-40B4-BE49-F238E27FC236}">
                <a16:creationId xmlns:a16="http://schemas.microsoft.com/office/drawing/2014/main" id="{0B60C4A9-9D8F-0D46-7DCB-523B38B03435}"/>
              </a:ext>
            </a:extLst>
          </xdr:cNvPr>
          <xdr:cNvSpPr/>
        </xdr:nvSpPr>
        <xdr:spPr>
          <a:xfrm>
            <a:off x="1195385" y="1547815"/>
            <a:ext cx="4586291" cy="3162298"/>
          </a:xfrm>
          <a:prstGeom prst="roundRect">
            <a:avLst>
              <a:gd name="adj" fmla="val 6269"/>
            </a:avLst>
          </a:prstGeom>
          <a:solidFill>
            <a:schemeClr val="tx1">
              <a:lumMod val="65000"/>
              <a:lumOff val="3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1" name="Rectangle: Rounded Corners 100">
            <a:extLst>
              <a:ext uri="{FF2B5EF4-FFF2-40B4-BE49-F238E27FC236}">
                <a16:creationId xmlns:a16="http://schemas.microsoft.com/office/drawing/2014/main" id="{DF42F22E-1A55-6DAD-DDD0-2EDDC575B3CE}"/>
              </a:ext>
            </a:extLst>
          </xdr:cNvPr>
          <xdr:cNvSpPr/>
        </xdr:nvSpPr>
        <xdr:spPr>
          <a:xfrm>
            <a:off x="1176335" y="1562102"/>
            <a:ext cx="4586291" cy="3157536"/>
          </a:xfrm>
          <a:prstGeom prst="roundRect">
            <a:avLst>
              <a:gd name="adj" fmla="val 6269"/>
            </a:avLst>
          </a:prstGeom>
          <a:solidFill>
            <a:schemeClr val="tx1">
              <a:lumMod val="95000"/>
              <a:lumOff val="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6</xdr:col>
      <xdr:colOff>604837</xdr:colOff>
      <xdr:row>23</xdr:row>
      <xdr:rowOff>157162</xdr:rowOff>
    </xdr:from>
    <xdr:to>
      <xdr:col>16</xdr:col>
      <xdr:colOff>214313</xdr:colOff>
      <xdr:row>38</xdr:row>
      <xdr:rowOff>166687</xdr:rowOff>
    </xdr:to>
    <xdr:grpSp>
      <xdr:nvGrpSpPr>
        <xdr:cNvPr id="102" name="Group 101">
          <a:extLst>
            <a:ext uri="{FF2B5EF4-FFF2-40B4-BE49-F238E27FC236}">
              <a16:creationId xmlns:a16="http://schemas.microsoft.com/office/drawing/2014/main" id="{A9369290-DBD8-42C5-F789-ED87C15EC8DB}"/>
            </a:ext>
          </a:extLst>
        </xdr:cNvPr>
        <xdr:cNvGrpSpPr/>
      </xdr:nvGrpSpPr>
      <xdr:grpSpPr>
        <a:xfrm>
          <a:off x="4205287" y="4319587"/>
          <a:ext cx="5610226" cy="2724150"/>
          <a:chOff x="1176335" y="1547815"/>
          <a:chExt cx="4605341" cy="3171823"/>
        </a:xfrm>
      </xdr:grpSpPr>
      <xdr:sp macro="" textlink="">
        <xdr:nvSpPr>
          <xdr:cNvPr id="103" name="Rectangle: Rounded Corners 102">
            <a:extLst>
              <a:ext uri="{FF2B5EF4-FFF2-40B4-BE49-F238E27FC236}">
                <a16:creationId xmlns:a16="http://schemas.microsoft.com/office/drawing/2014/main" id="{20E8CFB7-5536-24B1-45E9-49683E26069B}"/>
              </a:ext>
            </a:extLst>
          </xdr:cNvPr>
          <xdr:cNvSpPr/>
        </xdr:nvSpPr>
        <xdr:spPr>
          <a:xfrm>
            <a:off x="1195385" y="1547815"/>
            <a:ext cx="4586291" cy="3162298"/>
          </a:xfrm>
          <a:prstGeom prst="roundRect">
            <a:avLst>
              <a:gd name="adj" fmla="val 6269"/>
            </a:avLst>
          </a:prstGeom>
          <a:solidFill>
            <a:schemeClr val="tx1">
              <a:lumMod val="65000"/>
              <a:lumOff val="3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4" name="Rectangle: Rounded Corners 103">
            <a:extLst>
              <a:ext uri="{FF2B5EF4-FFF2-40B4-BE49-F238E27FC236}">
                <a16:creationId xmlns:a16="http://schemas.microsoft.com/office/drawing/2014/main" id="{7F01D5AF-D13F-DD0C-3A79-199AC139F5A1}"/>
              </a:ext>
            </a:extLst>
          </xdr:cNvPr>
          <xdr:cNvSpPr/>
        </xdr:nvSpPr>
        <xdr:spPr>
          <a:xfrm>
            <a:off x="1176335" y="1562102"/>
            <a:ext cx="4586291" cy="3157536"/>
          </a:xfrm>
          <a:prstGeom prst="roundRect">
            <a:avLst>
              <a:gd name="adj" fmla="val 6269"/>
            </a:avLst>
          </a:prstGeom>
          <a:solidFill>
            <a:schemeClr val="tx1">
              <a:lumMod val="95000"/>
              <a:lumOff val="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16</xdr:col>
      <xdr:colOff>385761</xdr:colOff>
      <xdr:row>8</xdr:row>
      <xdr:rowOff>95250</xdr:rowOff>
    </xdr:from>
    <xdr:to>
      <xdr:col>20</xdr:col>
      <xdr:colOff>490538</xdr:colOff>
      <xdr:row>26</xdr:row>
      <xdr:rowOff>95250</xdr:rowOff>
    </xdr:to>
    <xdr:grpSp>
      <xdr:nvGrpSpPr>
        <xdr:cNvPr id="105" name="Group 104">
          <a:extLst>
            <a:ext uri="{FF2B5EF4-FFF2-40B4-BE49-F238E27FC236}">
              <a16:creationId xmlns:a16="http://schemas.microsoft.com/office/drawing/2014/main" id="{C857F572-084F-2FBF-A654-230F6D94B41F}"/>
            </a:ext>
          </a:extLst>
        </xdr:cNvPr>
        <xdr:cNvGrpSpPr/>
      </xdr:nvGrpSpPr>
      <xdr:grpSpPr>
        <a:xfrm>
          <a:off x="9986961" y="1543050"/>
          <a:ext cx="2505077" cy="3257550"/>
          <a:chOff x="1176335" y="1547815"/>
          <a:chExt cx="4605341" cy="3171823"/>
        </a:xfrm>
      </xdr:grpSpPr>
      <xdr:sp macro="" textlink="">
        <xdr:nvSpPr>
          <xdr:cNvPr id="106" name="Rectangle: Rounded Corners 105">
            <a:extLst>
              <a:ext uri="{FF2B5EF4-FFF2-40B4-BE49-F238E27FC236}">
                <a16:creationId xmlns:a16="http://schemas.microsoft.com/office/drawing/2014/main" id="{4E779AC9-72B6-1051-F117-488DF51ABFE2}"/>
              </a:ext>
            </a:extLst>
          </xdr:cNvPr>
          <xdr:cNvSpPr/>
        </xdr:nvSpPr>
        <xdr:spPr>
          <a:xfrm>
            <a:off x="1195385" y="1547815"/>
            <a:ext cx="4586291" cy="3162298"/>
          </a:xfrm>
          <a:prstGeom prst="roundRect">
            <a:avLst>
              <a:gd name="adj" fmla="val 6269"/>
            </a:avLst>
          </a:prstGeom>
          <a:solidFill>
            <a:schemeClr val="tx1">
              <a:lumMod val="65000"/>
              <a:lumOff val="3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7" name="Rectangle: Rounded Corners 106">
            <a:extLst>
              <a:ext uri="{FF2B5EF4-FFF2-40B4-BE49-F238E27FC236}">
                <a16:creationId xmlns:a16="http://schemas.microsoft.com/office/drawing/2014/main" id="{70975DD8-978D-86B2-61B8-3C45C5B6861A}"/>
              </a:ext>
            </a:extLst>
          </xdr:cNvPr>
          <xdr:cNvSpPr/>
        </xdr:nvSpPr>
        <xdr:spPr>
          <a:xfrm>
            <a:off x="1176335" y="1562102"/>
            <a:ext cx="4586291" cy="3157536"/>
          </a:xfrm>
          <a:prstGeom prst="roundRect">
            <a:avLst>
              <a:gd name="adj" fmla="val 6269"/>
            </a:avLst>
          </a:prstGeom>
          <a:solidFill>
            <a:schemeClr val="tx1">
              <a:lumMod val="95000"/>
              <a:lumOff val="5000"/>
              <a:alpha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6</xdr:col>
      <xdr:colOff>628649</xdr:colOff>
      <xdr:row>10</xdr:row>
      <xdr:rowOff>71437</xdr:rowOff>
    </xdr:from>
    <xdr:to>
      <xdr:col>11</xdr:col>
      <xdr:colOff>252413</xdr:colOff>
      <xdr:row>22</xdr:row>
      <xdr:rowOff>152398</xdr:rowOff>
    </xdr:to>
    <xdr:graphicFrame macro="">
      <xdr:nvGraphicFramePr>
        <xdr:cNvPr id="108" name="Chart 107">
          <a:extLst>
            <a:ext uri="{FF2B5EF4-FFF2-40B4-BE49-F238E27FC236}">
              <a16:creationId xmlns:a16="http://schemas.microsoft.com/office/drawing/2014/main" id="{13AF3019-B391-4AD9-BB8B-2B4A6C24ED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7</xdr:col>
      <xdr:colOff>9525</xdr:colOff>
      <xdr:row>8</xdr:row>
      <xdr:rowOff>147637</xdr:rowOff>
    </xdr:from>
    <xdr:ext cx="2728913" cy="304801"/>
    <xdr:sp macro="" textlink="">
      <xdr:nvSpPr>
        <xdr:cNvPr id="109" name="TextBox 108">
          <a:extLst>
            <a:ext uri="{FF2B5EF4-FFF2-40B4-BE49-F238E27FC236}">
              <a16:creationId xmlns:a16="http://schemas.microsoft.com/office/drawing/2014/main" id="{CACABCB7-50AD-40DB-0928-244B85420FC3}"/>
            </a:ext>
          </a:extLst>
        </xdr:cNvPr>
        <xdr:cNvSpPr txBox="1"/>
      </xdr:nvSpPr>
      <xdr:spPr>
        <a:xfrm>
          <a:off x="4543425" y="1595437"/>
          <a:ext cx="2728913"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Total</a:t>
          </a:r>
          <a:r>
            <a:rPr lang="en-IN" sz="1200" b="1" baseline="0">
              <a:solidFill>
                <a:schemeClr val="bg1"/>
              </a:solidFill>
              <a:latin typeface="Arial" panose="020B0604020202020204" pitchFamily="34" charset="0"/>
              <a:cs typeface="Arial" panose="020B0604020202020204" pitchFamily="34" charset="0"/>
            </a:rPr>
            <a:t> Riders Distribution By Gender</a:t>
          </a:r>
          <a:endParaRPr lang="en-IN" sz="1200" b="1">
            <a:solidFill>
              <a:schemeClr val="bg1"/>
            </a:solidFill>
            <a:latin typeface="Arial" panose="020B0604020202020204" pitchFamily="34" charset="0"/>
            <a:cs typeface="Arial" panose="020B0604020202020204" pitchFamily="34" charset="0"/>
          </a:endParaRPr>
        </a:p>
      </xdr:txBody>
    </xdr:sp>
    <xdr:clientData/>
  </xdr:oneCellAnchor>
  <mc:AlternateContent xmlns:mc="http://schemas.openxmlformats.org/markup-compatibility/2006">
    <mc:Choice xmlns:a14="http://schemas.microsoft.com/office/drawing/2010/main" Requires="a14">
      <xdr:twoCellAnchor editAs="oneCell">
        <xdr:from>
          <xdr:col>12</xdr:col>
          <xdr:colOff>28575</xdr:colOff>
          <xdr:row>9</xdr:row>
          <xdr:rowOff>71438</xdr:rowOff>
        </xdr:from>
        <xdr:to>
          <xdr:col>12</xdr:col>
          <xdr:colOff>576263</xdr:colOff>
          <xdr:row>10</xdr:row>
          <xdr:rowOff>104775</xdr:rowOff>
        </xdr:to>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Top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233363</xdr:colOff>
          <xdr:row>9</xdr:row>
          <xdr:rowOff>71438</xdr:rowOff>
        </xdr:from>
        <xdr:to>
          <xdr:col>14</xdr:col>
          <xdr:colOff>133350</xdr:colOff>
          <xdr:row>10</xdr:row>
          <xdr:rowOff>104775</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Bottom</a:t>
              </a:r>
            </a:p>
          </xdr:txBody>
        </xdr:sp>
        <xdr:clientData/>
      </xdr:twoCellAnchor>
    </mc:Choice>
    <mc:Fallback/>
  </mc:AlternateContent>
  <xdr:twoCellAnchor>
    <xdr:from>
      <xdr:col>11</xdr:col>
      <xdr:colOff>519113</xdr:colOff>
      <xdr:row>13</xdr:row>
      <xdr:rowOff>57150</xdr:rowOff>
    </xdr:from>
    <xdr:to>
      <xdr:col>16</xdr:col>
      <xdr:colOff>157163</xdr:colOff>
      <xdr:row>21</xdr:row>
      <xdr:rowOff>166688</xdr:rowOff>
    </xdr:to>
    <xdr:graphicFrame macro="">
      <xdr:nvGraphicFramePr>
        <xdr:cNvPr id="25" name="Chart 24">
          <a:extLst>
            <a:ext uri="{FF2B5EF4-FFF2-40B4-BE49-F238E27FC236}">
              <a16:creationId xmlns:a16="http://schemas.microsoft.com/office/drawing/2014/main" id="{94AEA5B1-7336-428B-8A3B-22BD8115ED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11</xdr:col>
      <xdr:colOff>638175</xdr:colOff>
      <xdr:row>11</xdr:row>
      <xdr:rowOff>61912</xdr:rowOff>
    </xdr:from>
    <xdr:ext cx="1824038" cy="304801"/>
    <xdr:sp macro="" textlink="">
      <xdr:nvSpPr>
        <xdr:cNvPr id="26" name="TextBox 25">
          <a:extLst>
            <a:ext uri="{FF2B5EF4-FFF2-40B4-BE49-F238E27FC236}">
              <a16:creationId xmlns:a16="http://schemas.microsoft.com/office/drawing/2014/main" id="{89193A39-6CC4-5C1F-BB56-B620D60FEE30}"/>
            </a:ext>
          </a:extLst>
        </xdr:cNvPr>
        <xdr:cNvSpPr txBox="1"/>
      </xdr:nvSpPr>
      <xdr:spPr>
        <a:xfrm>
          <a:off x="7762875" y="2052637"/>
          <a:ext cx="1824038"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400" b="1">
              <a:solidFill>
                <a:schemeClr val="bg1"/>
              </a:solidFill>
              <a:latin typeface="Arial" panose="020B0604020202020204" pitchFamily="34" charset="0"/>
              <a:cs typeface="Arial" panose="020B0604020202020204" pitchFamily="34" charset="0"/>
            </a:rPr>
            <a:t>5 Performing Buses</a:t>
          </a:r>
        </a:p>
      </xdr:txBody>
    </xdr:sp>
    <xdr:clientData/>
  </xdr:oneCellAnchor>
  <xdr:twoCellAnchor>
    <xdr:from>
      <xdr:col>7</xdr:col>
      <xdr:colOff>0</xdr:colOff>
      <xdr:row>25</xdr:row>
      <xdr:rowOff>161924</xdr:rowOff>
    </xdr:from>
    <xdr:to>
      <xdr:col>16</xdr:col>
      <xdr:colOff>166688</xdr:colOff>
      <xdr:row>38</xdr:row>
      <xdr:rowOff>157163</xdr:rowOff>
    </xdr:to>
    <xdr:graphicFrame macro="">
      <xdr:nvGraphicFramePr>
        <xdr:cNvPr id="28" name="Chart 27">
          <a:extLst>
            <a:ext uri="{FF2B5EF4-FFF2-40B4-BE49-F238E27FC236}">
              <a16:creationId xmlns:a16="http://schemas.microsoft.com/office/drawing/2014/main" id="{2F537E28-BB64-4B41-A431-85935EDC93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7</xdr:col>
      <xdr:colOff>138112</xdr:colOff>
      <xdr:row>24</xdr:row>
      <xdr:rowOff>52388</xdr:rowOff>
    </xdr:from>
    <xdr:ext cx="2371725" cy="304801"/>
    <xdr:sp macro="" textlink="">
      <xdr:nvSpPr>
        <xdr:cNvPr id="29" name="TextBox 28">
          <a:extLst>
            <a:ext uri="{FF2B5EF4-FFF2-40B4-BE49-F238E27FC236}">
              <a16:creationId xmlns:a16="http://schemas.microsoft.com/office/drawing/2014/main" id="{407B57C9-B3D3-3797-B5B7-3E6673D796AE}"/>
            </a:ext>
          </a:extLst>
        </xdr:cNvPr>
        <xdr:cNvSpPr txBox="1"/>
      </xdr:nvSpPr>
      <xdr:spPr>
        <a:xfrm>
          <a:off x="4672012" y="4395788"/>
          <a:ext cx="2371725"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400" b="1">
              <a:solidFill>
                <a:schemeClr val="bg1"/>
              </a:solidFill>
              <a:latin typeface="Arial" panose="020B0604020202020204" pitchFamily="34" charset="0"/>
              <a:cs typeface="Arial" panose="020B0604020202020204" pitchFamily="34" charset="0"/>
            </a:rPr>
            <a:t>Total</a:t>
          </a:r>
          <a:r>
            <a:rPr lang="en-IN" sz="1400" b="1" baseline="0">
              <a:solidFill>
                <a:schemeClr val="bg1"/>
              </a:solidFill>
              <a:latin typeface="Arial" panose="020B0604020202020204" pitchFamily="34" charset="0"/>
              <a:cs typeface="Arial" panose="020B0604020202020204" pitchFamily="34" charset="0"/>
            </a:rPr>
            <a:t> Riders By Age-Group</a:t>
          </a:r>
          <a:endParaRPr lang="en-IN" sz="1400" b="1">
            <a:solidFill>
              <a:schemeClr val="bg1"/>
            </a:solidFill>
            <a:latin typeface="Arial" panose="020B0604020202020204" pitchFamily="34" charset="0"/>
            <a:cs typeface="Arial" panose="020B0604020202020204" pitchFamily="34" charset="0"/>
          </a:endParaRPr>
        </a:p>
      </xdr:txBody>
    </xdr:sp>
    <xdr:clientData/>
  </xdr:oneCellAnchor>
  <xdr:oneCellAnchor>
    <xdr:from>
      <xdr:col>13</xdr:col>
      <xdr:colOff>447674</xdr:colOff>
      <xdr:row>25</xdr:row>
      <xdr:rowOff>95250</xdr:rowOff>
    </xdr:from>
    <xdr:ext cx="1652586" cy="304801"/>
    <xdr:sp macro="" textlink="">
      <xdr:nvSpPr>
        <xdr:cNvPr id="30" name="TextBox 29">
          <a:extLst>
            <a:ext uri="{FF2B5EF4-FFF2-40B4-BE49-F238E27FC236}">
              <a16:creationId xmlns:a16="http://schemas.microsoft.com/office/drawing/2014/main" id="{44D5EDB1-55DD-C61E-04EF-ACCC1D5CFC82}"/>
            </a:ext>
          </a:extLst>
        </xdr:cNvPr>
        <xdr:cNvSpPr txBox="1"/>
      </xdr:nvSpPr>
      <xdr:spPr>
        <a:xfrm>
          <a:off x="8867774" y="4619625"/>
          <a:ext cx="1652586"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0">
              <a:solidFill>
                <a:schemeClr val="bg1"/>
              </a:solidFill>
              <a:latin typeface="Arial" panose="020B0604020202020204" pitchFamily="34" charset="0"/>
              <a:cs typeface="Arial" panose="020B0604020202020204" pitchFamily="34" charset="0"/>
            </a:rPr>
            <a:t>Average Riders Age</a:t>
          </a:r>
        </a:p>
      </xdr:txBody>
    </xdr:sp>
    <xdr:clientData/>
  </xdr:oneCellAnchor>
  <xdr:oneCellAnchor>
    <xdr:from>
      <xdr:col>14</xdr:col>
      <xdr:colOff>347663</xdr:colOff>
      <xdr:row>26</xdr:row>
      <xdr:rowOff>157163</xdr:rowOff>
    </xdr:from>
    <xdr:ext cx="592930" cy="352426"/>
    <xdr:sp macro="" textlink="Analysis!BN9">
      <xdr:nvSpPr>
        <xdr:cNvPr id="31" name="TextBox 30">
          <a:extLst>
            <a:ext uri="{FF2B5EF4-FFF2-40B4-BE49-F238E27FC236}">
              <a16:creationId xmlns:a16="http://schemas.microsoft.com/office/drawing/2014/main" id="{0F71105D-38EE-809D-4282-B7BB1F7D8358}"/>
            </a:ext>
          </a:extLst>
        </xdr:cNvPr>
        <xdr:cNvSpPr txBox="1"/>
      </xdr:nvSpPr>
      <xdr:spPr>
        <a:xfrm>
          <a:off x="9415463" y="4862513"/>
          <a:ext cx="592930" cy="3524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92EB723-3880-4C0A-ABE2-4090E4D14A43}" type="TxLink">
            <a:rPr lang="en-US" sz="2400" b="1" i="0" u="none" strike="noStrike">
              <a:solidFill>
                <a:srgbClr val="6D49F2"/>
              </a:solidFill>
              <a:latin typeface="Aptos Narrow"/>
              <a:ea typeface="+mn-ea"/>
              <a:cs typeface="Arial" panose="020B0604020202020204" pitchFamily="34" charset="0"/>
            </a:rPr>
            <a:pPr marL="0" indent="0" algn="ctr"/>
            <a:t>43</a:t>
          </a:fld>
          <a:endParaRPr lang="en-IN" sz="2400" b="1" i="0" u="none" strike="noStrike">
            <a:solidFill>
              <a:srgbClr val="6D49F2"/>
            </a:solidFill>
            <a:latin typeface="Aptos Narrow"/>
            <a:ea typeface="+mn-ea"/>
            <a:cs typeface="Arial" panose="020B0604020202020204" pitchFamily="34" charset="0"/>
          </a:endParaRPr>
        </a:p>
      </xdr:txBody>
    </xdr:sp>
    <xdr:clientData/>
  </xdr:oneCellAnchor>
  <xdr:twoCellAnchor>
    <xdr:from>
      <xdr:col>16</xdr:col>
      <xdr:colOff>390524</xdr:colOff>
      <xdr:row>11</xdr:row>
      <xdr:rowOff>9525</xdr:rowOff>
    </xdr:from>
    <xdr:to>
      <xdr:col>20</xdr:col>
      <xdr:colOff>452437</xdr:colOff>
      <xdr:row>26</xdr:row>
      <xdr:rowOff>28575</xdr:rowOff>
    </xdr:to>
    <xdr:graphicFrame macro="">
      <xdr:nvGraphicFramePr>
        <xdr:cNvPr id="35" name="Chart 34">
          <a:extLst>
            <a:ext uri="{FF2B5EF4-FFF2-40B4-BE49-F238E27FC236}">
              <a16:creationId xmlns:a16="http://schemas.microsoft.com/office/drawing/2014/main" id="{DB863E98-9247-4593-8208-2F073A415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16</xdr:col>
      <xdr:colOff>533400</xdr:colOff>
      <xdr:row>8</xdr:row>
      <xdr:rowOff>166686</xdr:rowOff>
    </xdr:from>
    <xdr:ext cx="2105025" cy="304801"/>
    <xdr:sp macro="" textlink="">
      <xdr:nvSpPr>
        <xdr:cNvPr id="36" name="TextBox 35">
          <a:extLst>
            <a:ext uri="{FF2B5EF4-FFF2-40B4-BE49-F238E27FC236}">
              <a16:creationId xmlns:a16="http://schemas.microsoft.com/office/drawing/2014/main" id="{7E94DD43-D381-EFEB-CE59-BA1D758F13C7}"/>
            </a:ext>
          </a:extLst>
        </xdr:cNvPr>
        <xdr:cNvSpPr txBox="1"/>
      </xdr:nvSpPr>
      <xdr:spPr>
        <a:xfrm>
          <a:off x="10896600" y="1614486"/>
          <a:ext cx="2105025"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200" b="1">
              <a:solidFill>
                <a:schemeClr val="bg1"/>
              </a:solidFill>
              <a:latin typeface="Arial" panose="020B0604020202020204" pitchFamily="34" charset="0"/>
              <a:cs typeface="Arial" panose="020B0604020202020204" pitchFamily="34" charset="0"/>
            </a:rPr>
            <a:t>Total</a:t>
          </a:r>
          <a:r>
            <a:rPr lang="en-IN" sz="1200" b="1" baseline="0">
              <a:solidFill>
                <a:schemeClr val="bg1"/>
              </a:solidFill>
              <a:latin typeface="Arial" panose="020B0604020202020204" pitchFamily="34" charset="0"/>
              <a:cs typeface="Arial" panose="020B0604020202020204" pitchFamily="34" charset="0"/>
            </a:rPr>
            <a:t> Riders By Occupation</a:t>
          </a:r>
          <a:endParaRPr lang="en-IN" sz="1200" b="1">
            <a:solidFill>
              <a:schemeClr val="bg1"/>
            </a:solidFill>
            <a:latin typeface="Arial" panose="020B0604020202020204" pitchFamily="34" charset="0"/>
            <a:cs typeface="Arial" panose="020B0604020202020204" pitchFamily="34" charset="0"/>
          </a:endParaRPr>
        </a:p>
      </xdr:txBody>
    </xdr:sp>
    <xdr:clientData/>
  </xdr:oneCellAnchor>
  <xdr:oneCellAnchor>
    <xdr:from>
      <xdr:col>13</xdr:col>
      <xdr:colOff>504825</xdr:colOff>
      <xdr:row>21</xdr:row>
      <xdr:rowOff>61911</xdr:rowOff>
    </xdr:from>
    <xdr:ext cx="361950" cy="257177"/>
    <xdr:sp macro="" textlink="">
      <xdr:nvSpPr>
        <xdr:cNvPr id="37" name="TextBox 36">
          <a:extLst>
            <a:ext uri="{FF2B5EF4-FFF2-40B4-BE49-F238E27FC236}">
              <a16:creationId xmlns:a16="http://schemas.microsoft.com/office/drawing/2014/main" id="{B6AE8E50-F2AB-7037-A809-D4FD83F4B68C}"/>
            </a:ext>
          </a:extLst>
        </xdr:cNvPr>
        <xdr:cNvSpPr txBox="1"/>
      </xdr:nvSpPr>
      <xdr:spPr>
        <a:xfrm>
          <a:off x="8924925" y="3862386"/>
          <a:ext cx="361950" cy="2571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100" b="1">
              <a:solidFill>
                <a:schemeClr val="bg1"/>
              </a:solidFill>
              <a:latin typeface="Arial" panose="020B0604020202020204" pitchFamily="34" charset="0"/>
              <a:cs typeface="Arial" panose="020B0604020202020204" pitchFamily="34" charset="0"/>
            </a:rPr>
            <a:t>Bus</a:t>
          </a:r>
        </a:p>
      </xdr:txBody>
    </xdr:sp>
    <xdr:clientData/>
  </xdr:oneCellAnchor>
  <xdr:twoCellAnchor editAs="oneCell">
    <xdr:from>
      <xdr:col>16</xdr:col>
      <xdr:colOff>361949</xdr:colOff>
      <xdr:row>1</xdr:row>
      <xdr:rowOff>14287</xdr:rowOff>
    </xdr:from>
    <xdr:to>
      <xdr:col>18</xdr:col>
      <xdr:colOff>452436</xdr:colOff>
      <xdr:row>7</xdr:row>
      <xdr:rowOff>180974</xdr:rowOff>
    </xdr:to>
    <mc:AlternateContent xmlns:mc="http://schemas.openxmlformats.org/markup-compatibility/2006" xmlns:a14="http://schemas.microsoft.com/office/drawing/2010/main">
      <mc:Choice Requires="a14">
        <xdr:graphicFrame macro="">
          <xdr:nvGraphicFramePr>
            <xdr:cNvPr id="38" name="Gender">
              <a:extLst>
                <a:ext uri="{FF2B5EF4-FFF2-40B4-BE49-F238E27FC236}">
                  <a16:creationId xmlns:a16="http://schemas.microsoft.com/office/drawing/2014/main" id="{20C32DFF-47D6-4382-A9AB-F09982C4D25A}"/>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0725149" y="195262"/>
              <a:ext cx="1385887" cy="12525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566737</xdr:colOff>
      <xdr:row>1</xdr:row>
      <xdr:rowOff>28574</xdr:rowOff>
    </xdr:from>
    <xdr:to>
      <xdr:col>20</xdr:col>
      <xdr:colOff>457200</xdr:colOff>
      <xdr:row>7</xdr:row>
      <xdr:rowOff>171450</xdr:rowOff>
    </xdr:to>
    <mc:AlternateContent xmlns:mc="http://schemas.openxmlformats.org/markup-compatibility/2006" xmlns:a14="http://schemas.microsoft.com/office/drawing/2010/main">
      <mc:Choice Requires="a14">
        <xdr:graphicFrame macro="">
          <xdr:nvGraphicFramePr>
            <xdr:cNvPr id="39" name="Year">
              <a:extLst>
                <a:ext uri="{FF2B5EF4-FFF2-40B4-BE49-F238E27FC236}">
                  <a16:creationId xmlns:a16="http://schemas.microsoft.com/office/drawing/2014/main" id="{5185EB2B-4D11-4A4C-A99F-F21AEE81A4C6}"/>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225337" y="209549"/>
              <a:ext cx="1185863" cy="12287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404812</xdr:colOff>
      <xdr:row>27</xdr:row>
      <xdr:rowOff>4763</xdr:rowOff>
    </xdr:from>
    <xdr:to>
      <xdr:col>20</xdr:col>
      <xdr:colOff>400050</xdr:colOff>
      <xdr:row>38</xdr:row>
      <xdr:rowOff>109538</xdr:rowOff>
    </xdr:to>
    <mc:AlternateContent xmlns:mc="http://schemas.openxmlformats.org/markup-compatibility/2006" xmlns:a14="http://schemas.microsoft.com/office/drawing/2010/main">
      <mc:Choice Requires="a14">
        <xdr:graphicFrame macro="">
          <xdr:nvGraphicFramePr>
            <xdr:cNvPr id="40" name="RouteName">
              <a:extLst>
                <a:ext uri="{FF2B5EF4-FFF2-40B4-BE49-F238E27FC236}">
                  <a16:creationId xmlns:a16="http://schemas.microsoft.com/office/drawing/2014/main" id="{22C7E708-1636-473C-8ECC-72D19025FD14}"/>
                </a:ext>
              </a:extLst>
            </xdr:cNvPr>
            <xdr:cNvGraphicFramePr/>
          </xdr:nvGraphicFramePr>
          <xdr:xfrm>
            <a:off x="0" y="0"/>
            <a:ext cx="0" cy="0"/>
          </xdr:xfrm>
          <a:graphic>
            <a:graphicData uri="http://schemas.microsoft.com/office/drawing/2010/slicer">
              <sle:slicer xmlns:sle="http://schemas.microsoft.com/office/drawing/2010/slicer" name="RouteName"/>
            </a:graphicData>
          </a:graphic>
        </xdr:graphicFrame>
      </mc:Choice>
      <mc:Fallback xmlns="">
        <xdr:sp macro="" textlink="">
          <xdr:nvSpPr>
            <xdr:cNvPr id="0" name=""/>
            <xdr:cNvSpPr>
              <a:spLocks noTextEdit="1"/>
            </xdr:cNvSpPr>
          </xdr:nvSpPr>
          <xdr:spPr>
            <a:xfrm>
              <a:off x="10768012" y="4891088"/>
              <a:ext cx="2586038" cy="2095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342901</xdr:colOff>
      <xdr:row>17</xdr:row>
      <xdr:rowOff>97632</xdr:rowOff>
    </xdr:from>
    <xdr:to>
      <xdr:col>1</xdr:col>
      <xdr:colOff>142876</xdr:colOff>
      <xdr:row>20</xdr:row>
      <xdr:rowOff>2382</xdr:rowOff>
    </xdr:to>
    <xdr:pic>
      <xdr:nvPicPr>
        <xdr:cNvPr id="43" name="Picture 42">
          <a:hlinkClick xmlns:r="http://schemas.openxmlformats.org/officeDocument/2006/relationships" r:id="rId6" tooltip="Previous Dashboard"/>
          <a:extLst>
            <a:ext uri="{FF2B5EF4-FFF2-40B4-BE49-F238E27FC236}">
              <a16:creationId xmlns:a16="http://schemas.microsoft.com/office/drawing/2014/main" id="{31815CF2-7DE3-842F-2735-FF7B36E97F2E}"/>
            </a:ext>
          </a:extLst>
        </xdr:cNvPr>
        <xdr:cNvPicPr>
          <a:picLocks noChangeAspect="1"/>
        </xdr:cNvPicPr>
      </xdr:nvPicPr>
      <xdr:blipFill>
        <a:blip xmlns:r="http://schemas.openxmlformats.org/officeDocument/2006/relationships" r:embed="rId7" cstate="print">
          <a:lum bright="70000" contrast="-70000"/>
          <a:extLst>
            <a:ext uri="{28A0092B-C50C-407E-A947-70E740481C1C}">
              <a14:useLocalDpi xmlns:a14="http://schemas.microsoft.com/office/drawing/2010/main" val="0"/>
            </a:ext>
          </a:extLst>
        </a:blip>
        <a:stretch>
          <a:fillRect/>
        </a:stretch>
      </xdr:blipFill>
      <xdr:spPr>
        <a:xfrm>
          <a:off x="342901" y="3174207"/>
          <a:ext cx="447675" cy="447675"/>
        </a:xfrm>
        <a:prstGeom prst="rect">
          <a:avLst/>
        </a:prstGeom>
        <a:noFill/>
      </xdr:spPr>
    </xdr:pic>
    <xdr:clientData/>
  </xdr:twoCellAnchor>
  <xdr:twoCellAnchor editAs="oneCell">
    <xdr:from>
      <xdr:col>0</xdr:col>
      <xdr:colOff>314324</xdr:colOff>
      <xdr:row>28</xdr:row>
      <xdr:rowOff>138112</xdr:rowOff>
    </xdr:from>
    <xdr:to>
      <xdr:col>1</xdr:col>
      <xdr:colOff>171453</xdr:colOff>
      <xdr:row>31</xdr:row>
      <xdr:rowOff>100016</xdr:rowOff>
    </xdr:to>
    <xdr:pic>
      <xdr:nvPicPr>
        <xdr:cNvPr id="47" name="Picture 46">
          <a:extLst>
            <a:ext uri="{FF2B5EF4-FFF2-40B4-BE49-F238E27FC236}">
              <a16:creationId xmlns:a16="http://schemas.microsoft.com/office/drawing/2014/main" id="{D0B6BB82-7BD1-9933-6BC3-F2E6F12A16C0}"/>
            </a:ext>
          </a:extLst>
        </xdr:cNvPr>
        <xdr:cNvPicPr>
          <a:picLocks noChangeAspect="1"/>
        </xdr:cNvPicPr>
      </xdr:nvPicPr>
      <xdr:blipFill>
        <a:blip xmlns:r="http://schemas.openxmlformats.org/officeDocument/2006/relationships" r:embed="rId8"/>
        <a:stretch>
          <a:fillRect/>
        </a:stretch>
      </xdr:blipFill>
      <xdr:spPr>
        <a:xfrm>
          <a:off x="314324" y="5205412"/>
          <a:ext cx="504829" cy="504829"/>
        </a:xfrm>
        <a:prstGeom prst="rect">
          <a:avLst/>
        </a:prstGeom>
        <a:solidFill>
          <a:schemeClr val="bg1"/>
        </a:solidFill>
      </xdr:spPr>
    </xdr:pic>
    <xdr:clientData/>
  </xdr:twoCellAnchor>
  <xdr:twoCellAnchor>
    <xdr:from>
      <xdr:col>0</xdr:col>
      <xdr:colOff>109538</xdr:colOff>
      <xdr:row>6</xdr:row>
      <xdr:rowOff>142876</xdr:rowOff>
    </xdr:from>
    <xdr:to>
      <xdr:col>1</xdr:col>
      <xdr:colOff>376238</xdr:colOff>
      <xdr:row>8</xdr:row>
      <xdr:rowOff>142876</xdr:rowOff>
    </xdr:to>
    <xdr:sp macro="[0]!Clear_Filter" textlink="">
      <xdr:nvSpPr>
        <xdr:cNvPr id="48" name="Rectangle 47">
          <a:extLst>
            <a:ext uri="{FF2B5EF4-FFF2-40B4-BE49-F238E27FC236}">
              <a16:creationId xmlns:a16="http://schemas.microsoft.com/office/drawing/2014/main" id="{46923F44-5625-A507-CA42-E9C624F803EA}"/>
            </a:ext>
          </a:extLst>
        </xdr:cNvPr>
        <xdr:cNvSpPr/>
      </xdr:nvSpPr>
      <xdr:spPr>
        <a:xfrm>
          <a:off x="109538" y="1228726"/>
          <a:ext cx="914400" cy="361950"/>
        </a:xfrm>
        <a:prstGeom prst="rec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tx1"/>
              </a:solidFill>
            </a:rPr>
            <a:t>Clear Filter</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58333336" backgroundQuery="1" createdVersion="8" refreshedVersion="8" minRefreshableVersion="3" recordCount="0" supportSubquery="1" supportAdvancedDrill="1" xr:uid="{E72D9011-D54F-4858-88A1-8DABB2EC864D}">
  <cacheSource type="external" connectionId="7"/>
  <cacheFields count="4">
    <cacheField name="[Dim_routes].[RouteName].[RouteName]" caption="RouteName" numFmtId="0" hierarchy="19" level="1">
      <sharedItems count="10">
        <s v="Airport Express"/>
        <s v="Beachfront Route"/>
        <s v="Central Line"/>
        <s v="City Shuttle"/>
        <s v="East-West Express"/>
        <s v="Market Line"/>
        <s v="North Circular"/>
        <s v="South Line"/>
        <s v="Suburban Line"/>
        <s v="University Line"/>
      </sharedItems>
    </cacheField>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Measures].[Sum of NumberOfRiders]" caption="Sum of NumberOfRiders" numFmtId="0" hierarchy="42" level="32767"/>
    <cacheField name="[Dim_Date].[Year].[Year]" caption="Year" numFmtId="0" hierarchy="6" level="1">
      <sharedItems containsSemiMixedTypes="0" containsNonDate="0" containsString="0"/>
    </cacheField>
  </cacheFields>
  <cacheHierarchies count="59">
    <cacheHierarchy uniqueName="[Calculation].[Column1]" caption="Column1" attribute="1" defaultMemberUniqueName="[Calculation].[Column1].[All]" allUniqueName="[Calculation].[Column1].[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2" memberValueDatatype="20" unbalanced="0">
      <fieldsUsage count="2">
        <fieldUsage x="-1"/>
        <fieldUsage x="3"/>
      </fieldsUsage>
    </cacheHierarchy>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WeekType]" caption="WeekType" attribute="1" defaultMemberUniqueName="[Dim_Date].[WeekType].[All]" allUniqueName="[Dim_Date].[WeekType].[All]" dimensionUniqueName="[Dim_Dat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0"/>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1"/>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0"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oneField="1">
      <fieldsUsage count="1">
        <fieldUsage x="2"/>
      </fieldsUsage>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cacheHierarchy uniqueName="[Measures].[Revenue]" caption="Revenue" measure="1" displayFolder="" measureGroup="Calculation" count="0"/>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60185184" backgroundQuery="1" createdVersion="8" refreshedVersion="8" minRefreshableVersion="3" recordCount="0" supportSubquery="1" supportAdvancedDrill="1" xr:uid="{E2ACAAD6-271B-4B44-94E4-0781FD4D98A5}">
  <cacheSource type="external" connectionId="7"/>
  <cacheFields count="3">
    <cacheField name="[Measures].[Sum of NumberOfRiders]" caption="Sum of NumberOfRiders" numFmtId="0" hierarchy="42" level="32767"/>
    <cacheField name="[Dim_routes].[RouteName].[RouteName]" caption="RouteName" numFmtId="0" hierarchy="19" level="1">
      <sharedItems count="1">
        <s v="East-West Express"/>
      </sharedItems>
    </cacheField>
    <cacheField name="[Dim_Date].[Year].[Year]" caption="Year" numFmtId="0" hierarchy="6" level="1">
      <sharedItems containsSemiMixedTypes="0" containsNonDate="0" containsString="0"/>
    </cacheField>
  </cacheFields>
  <cacheHierarchies count="59">
    <cacheHierarchy uniqueName="[Calculation].[Column1]" caption="Column1" attribute="1" defaultMemberUniqueName="[Calculation].[Column1].[All]" allUniqueName="[Calculation].[Column1].[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2" memberValueDatatype="20" unbalanced="0">
      <fieldsUsage count="2">
        <fieldUsage x="-1"/>
        <fieldUsage x="2"/>
      </fieldsUsage>
    </cacheHierarchy>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WeekType]" caption="WeekType" attribute="1" defaultMemberUniqueName="[Dim_Date].[WeekType].[All]" allUniqueName="[Dim_Date].[WeekType].[All]" dimensionUniqueName="[Dim_Dat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0" memberValueDatatype="7" unbalanced="0"/>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0"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oneField="1">
      <fieldsUsage count="1">
        <fieldUsage x="0"/>
      </fieldsUsage>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cacheHierarchy uniqueName="[Measures].[Revenue]" caption="Revenue" measure="1" displayFolder="" measureGroup="Calculation" count="0"/>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61226854" backgroundQuery="1" createdVersion="8" refreshedVersion="8" minRefreshableVersion="3" recordCount="0" supportSubquery="1" supportAdvancedDrill="1" xr:uid="{FC3F9F86-5391-4149-BFB0-A0A00DBB3113}">
  <cacheSource type="external" connectionId="7"/>
  <cacheFields count="3">
    <cacheField name="[Measures].[Sum of NumberOfRiders]" caption="Sum of NumberOfRiders" numFmtId="0" hierarchy="42" level="32767"/>
    <cacheField name="[Dim_routes].[RouteName].[RouteName]" caption="RouteName" numFmtId="0" hierarchy="19" level="1">
      <sharedItems count="1">
        <s v="South Line"/>
      </sharedItems>
    </cacheField>
    <cacheField name="[Dim_Date].[Year].[Year]" caption="Year" numFmtId="0" hierarchy="6" level="1">
      <sharedItems containsSemiMixedTypes="0" containsNonDate="0" containsString="0"/>
    </cacheField>
  </cacheFields>
  <cacheHierarchies count="59">
    <cacheHierarchy uniqueName="[Calculation].[Column1]" caption="Column1" attribute="1" defaultMemberUniqueName="[Calculation].[Column1].[All]" allUniqueName="[Calculation].[Column1].[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2" memberValueDatatype="20" unbalanced="0">
      <fieldsUsage count="2">
        <fieldUsage x="-1"/>
        <fieldUsage x="2"/>
      </fieldsUsage>
    </cacheHierarchy>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WeekType]" caption="WeekType" attribute="1" defaultMemberUniqueName="[Dim_Date].[WeekType].[All]" allUniqueName="[Dim_Date].[WeekType].[All]" dimensionUniqueName="[Dim_Dat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0" memberValueDatatype="7" unbalanced="0"/>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0"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oneField="1">
      <fieldsUsage count="1">
        <fieldUsage x="0"/>
      </fieldsUsage>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cacheHierarchy uniqueName="[Measures].[Revenue]" caption="Revenue" measure="1" displayFolder="" measureGroup="Calculation" count="0"/>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64930556" backgroundQuery="1" createdVersion="8" refreshedVersion="8" minRefreshableVersion="3" recordCount="0" supportSubquery="1" supportAdvancedDrill="1" xr:uid="{1D0BA632-3676-41E9-AFF3-726250DBAC9F}">
  <cacheSource type="external" connectionId="7"/>
  <cacheFields count="5">
    <cacheField name="[Dim_routes].[RouteName].[RouteName]" caption="RouteName" numFmtId="0" hierarchy="19" level="1">
      <sharedItems count="10">
        <s v="Airport Express"/>
        <s v="Beachfront Route"/>
        <s v="Central Line"/>
        <s v="City Shuttle"/>
        <s v="East-West Express"/>
        <s v="Market Line"/>
        <s v="North Circular"/>
        <s v="South Line"/>
        <s v="Suburban Line"/>
        <s v="University Line"/>
      </sharedItems>
    </cacheField>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Measures].[Sum of NumberOfRiders]" caption="Sum of NumberOfRiders" numFmtId="0" hierarchy="42" level="32767"/>
    <cacheField name="[Dim_buses].[BusID].[BusID]" caption="BusID" numFmtId="0" hierarchy="1" level="1">
      <sharedItems count="40">
        <s v="Bus 1"/>
        <s v="Bus 10"/>
        <s v="Bus 11"/>
        <s v="Bus 12"/>
        <s v="Bus 13"/>
        <s v="Bus 14"/>
        <s v="Bus 15"/>
        <s v="Bus 16"/>
        <s v="Bus 17"/>
        <s v="Bus 18"/>
        <s v="Bus 19"/>
        <s v="Bus 2"/>
        <s v="Bus 20"/>
        <s v="Bus 21"/>
        <s v="Bus 22"/>
        <s v="Bus 23"/>
        <s v="Bus 24"/>
        <s v="Bus 25"/>
        <s v="Bus 26"/>
        <s v="Bus 27"/>
        <s v="Bus 28"/>
        <s v="Bus 29"/>
        <s v="Bus 3"/>
        <s v="Bus 30"/>
        <s v="Bus 31"/>
        <s v="Bus 32"/>
        <s v="Bus 33"/>
        <s v="Bus 34"/>
        <s v="Bus 35"/>
        <s v="Bus 36"/>
        <s v="Bus 37"/>
        <s v="Bus 38"/>
        <s v="Bus 39"/>
        <s v="Bus 4"/>
        <s v="Bus 40"/>
        <s v="Bus 5"/>
        <s v="Bus 6"/>
        <s v="Bus 7"/>
        <s v="Bus 8"/>
        <s v="Bus 9"/>
      </sharedItems>
    </cacheField>
    <cacheField name="[Dim_demographics].[Occupation].[Occupation]" caption="Occupation" numFmtId="0" hierarchy="16" level="1">
      <sharedItems count="6">
        <s v="Other"/>
        <s v="Professional"/>
        <s v="Retired"/>
        <s v="Self-Employed"/>
        <s v="Student"/>
        <s v="Unemployed"/>
      </sharedItems>
    </cacheField>
  </cacheFields>
  <cacheHierarchies count="59">
    <cacheHierarchy uniqueName="[Calculation].[Column1]" caption="Column1" attribute="1" defaultMemberUniqueName="[Calculation].[Column1].[All]" allUniqueName="[Calculation].[Column1].[All]" dimensionUniqueName="[Calculation]" displayFolder="" count="2" memberValueDatatype="130" unbalanced="0"/>
    <cacheHierarchy uniqueName="[Dim_buses].[BusID]" caption="BusID" attribute="1" defaultMemberUniqueName="[Dim_buses].[BusID].[All]" allUniqueName="[Dim_buses].[BusID].[All]" dimensionUniqueName="[Dim_buses]" displayFolder="" count="2" memberValueDatatype="20" unbalanced="0">
      <fieldsUsage count="2">
        <fieldUsage x="-1"/>
        <fieldUsage x="3"/>
      </fieldsUsage>
    </cacheHierarchy>
    <cacheHierarchy uniqueName="[Dim_buses].[RouteID]" caption="RouteID" attribute="1" defaultMemberUniqueName="[Dim_buses].[RouteID].[All]" allUniqueName="[Dim_buses].[RouteID].[All]" dimensionUniqueName="[Dim_buses]" displayFolder="" count="2" memberValueDatatype="20" unbalanced="0"/>
    <cacheHierarchy uniqueName="[Dim_buses].[BusNumber]" caption="BusNumber" attribute="1" defaultMemberUniqueName="[Dim_buses].[BusNumber].[All]" allUniqueName="[Dim_buses].[BusNumber].[All]" dimensionUniqueName="[Dim_buses]" displayFolder="" count="2" memberValueDatatype="130" unbalanced="0"/>
    <cacheHierarchy uniqueName="[Dim_buses].[Capacity]" caption="Capacity" attribute="1" defaultMemberUniqueName="[Dim_buses].[Capacity].[All]" allUniqueName="[Dim_buses].[Capacity].[All]" dimensionUniqueName="[Dim_buses]" displayFolder="" count="2" memberValueDatatype="20" unbalanced="0"/>
    <cacheHierarchy uniqueName="[Dim_Date].[Date]" caption="Date" attribute="1" time="1" defaultMemberUniqueName="[Dim_Date].[Date].[All]" allUniqueName="[Dim_Date].[Date].[All]" dimensionUniqueName="[Dim_Date]" displayFolder="" count="2"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Month]" caption="Month" attribute="1" defaultMemberUniqueName="[Dim_Date].[Month].[All]" allUniqueName="[Dim_Date].[Month].[All]" dimensionUniqueName="[Dim_Date]" displayFolder="" count="2" memberValueDatatype="20" unbalanced="0"/>
    <cacheHierarchy uniqueName="[Dim_Date].[Day Name]" caption="Day Name" attribute="1" defaultMemberUniqueName="[Dim_Date].[Day Name].[All]" allUniqueName="[Dim_Date].[Day Name].[All]" dimensionUniqueName="[Dim_Date]" displayFolder="" count="2" memberValueDatatype="130" unbalanced="0"/>
    <cacheHierarchy uniqueName="[Dim_Date].[Day of Week]" caption="Day of Week" attribute="1" defaultMemberUniqueName="[Dim_Date].[Day of Week].[All]" allUniqueName="[Dim_Date].[Day of Week].[All]" dimensionUniqueName="[Dim_Date]" displayFolder="" count="2" memberValueDatatype="20" unbalanced="0"/>
    <cacheHierarchy uniqueName="[Dim_Date].[Quarter]" caption="Quarter" attribute="1" defaultMemberUniqueName="[Dim_Date].[Quarter].[All]" allUniqueName="[Dim_Date].[Quarter].[All]" dimensionUniqueName="[Dim_Date]" displayFolder="" count="2" memberValueDatatype="130" unbalanced="0"/>
    <cacheHierarchy uniqueName="[Dim_Date].[WeekType]" caption="WeekType" attribute="1" defaultMemberUniqueName="[Dim_Date].[WeekType].[All]" allUniqueName="[Dim_Date].[WeekType].[All]" dimensionUniqueName="[Dim_Date]" displayFolder="" count="2" memberValueDatatype="130" unbalanced="0"/>
    <cacheHierarchy uniqueName="[Dim_demographics].[RiderID]" caption="RiderID" attribute="1" defaultMemberUniqueName="[Dim_demographics].[RiderID].[All]" allUniqueName="[Dim_demographics].[RiderID].[All]" dimensionUniqueName="[Dim_demographics]" displayFolder="" count="2" memberValueDatatype="20" unbalanced="0"/>
    <cacheHierarchy uniqueName="[Dim_demographics].[Age]" caption="Age" attribute="1" defaultMemberUniqueName="[Dim_demographics].[Age].[All]" allUniqueName="[Dim_demographics].[Age].[All]" dimensionUniqueName="[Dim_demographics]" displayFolder="" count="2"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2" memberValueDatatype="130" unbalanced="0">
      <fieldsUsage count="2">
        <fieldUsage x="-1"/>
        <fieldUsage x="4"/>
      </fieldsUsage>
    </cacheHierarchy>
    <cacheHierarchy uniqueName="[Dim_demographics].[Age Group]" caption="Age Group" attribute="1" defaultMemberUniqueName="[Dim_demographics].[Age Group].[All]" allUniqueName="[Dim_demographics].[Age Group].[All]" dimensionUniqueName="[Dim_demographics]" displayFolder="" count="2" memberValueDatatype="130" unbalanced="0"/>
    <cacheHierarchy uniqueName="[Dim_routes].[RouteID]" caption="RouteID" attribute="1" defaultMemberUniqueName="[Dim_routes].[RouteID].[All]" allUniqueName="[Dim_routes].[RouteID].[All]" dimensionUniqueName="[Dim_routes]" displayFolder="" count="2"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0"/>
      </fieldsUsage>
    </cacheHierarchy>
    <cacheHierarchy uniqueName="[Dim_routes].[StartLocation]" caption="StartLocation" attribute="1" defaultMemberUniqueName="[Dim_routes].[StartLocation].[All]" allUniqueName="[Dim_routes].[StartLocation].[All]" dimensionUniqueName="[Dim_routes]" displayFolder="" count="2" memberValueDatatype="130" unbalanced="0"/>
    <cacheHierarchy uniqueName="[Dim_routes].[EndLocation]" caption="EndLocation" attribute="1" defaultMemberUniqueName="[Dim_routes].[EndLocation].[All]" allUniqueName="[Dim_routes].[EndLocation].[All]" dimensionUniqueName="[Dim_routes]" displayFolder="" count="2" memberValueDatatype="130" unbalanced="0"/>
    <cacheHierarchy uniqueName="[Dim_routes].[TripFee]" caption="TripFee" attribute="1" defaultMemberUniqueName="[Dim_routes].[TripFee].[All]" allUniqueName="[Dim_routes].[TripFee].[All]" dimensionUniqueName="[Dim_routes]" displayFolder="" count="2" memberValueDatatype="20" unbalanced="0"/>
    <cacheHierarchy uniqueName="[Dim_routes].[TakeOffTime]" caption="TakeOffTime" attribute="1" time="1" defaultMemberUniqueName="[Dim_routes].[TakeOffTime].[All]" allUniqueName="[Dim_routes].[TakeOffTime].[All]" dimensionUniqueName="[Dim_routes]" displayFolder="" count="2" memberValueDatatype="7" unbalanced="0"/>
    <cacheHierarchy uniqueName="[Dim_routes].[ArrivalTime]" caption="ArrivalTime" attribute="1" time="1" defaultMemberUniqueName="[Dim_routes].[ArrivalTime].[All]" allUniqueName="[Dim_routes].[ArrivalTime].[All]" dimensionUniqueName="[Dim_routes]" displayFolder="" count="2" memberValueDatatype="7" unbalanced="0"/>
    <cacheHierarchy uniqueName="[Facttable_ridership].[RecordID]" caption="RecordID" attribute="1" defaultMemberUniqueName="[Facttable_ridership].[RecordID].[All]" allUniqueName="[Facttable_ridership].[RecordID].[All]" dimensionUniqueName="[Facttable_ridership]" displayFolder="" count="2" memberValueDatatype="20" unbalanced="0"/>
    <cacheHierarchy uniqueName="[Facttable_ridership].[BusID]" caption="BusID" attribute="1" defaultMemberUniqueName="[Facttable_ridership].[BusID].[All]" allUniqueName="[Facttable_ridership].[BusID].[All]" dimensionUniqueName="[Facttable_ridership]" displayFolder="" count="2" memberValueDatatype="20" unbalanced="0"/>
    <cacheHierarchy uniqueName="[Facttable_ridership].[Date]" caption="Date" attribute="1" time="1" defaultMemberUniqueName="[Facttable_ridership].[Date].[All]" allUniqueName="[Facttable_ridership].[Date].[All]" dimensionUniqueName="[Facttable_ridership]" displayFolder="" count="2"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1"/>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2" memberValueDatatype="20" unbalanced="0"/>
    <cacheHierarchy uniqueName="[Facttable_ridership].[RiderID]" caption="RiderID" attribute="1" defaultMemberUniqueName="[Facttable_ridership].[RiderID].[All]" allUniqueName="[Facttable_ridership].[RiderID].[All]" dimensionUniqueName="[Facttable_ridership]" displayFolder="" count="2"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2"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2" memberValueDatatype="130" unbalanced="0"/>
    <cacheHierarchy uniqueName="[Facttable_ridership].[Capacity]" caption="Capacity" attribute="1" defaultMemberUniqueName="[Facttable_ridership].[Capacity].[All]" allUniqueName="[Facttable_ridership].[Capacity].[All]" dimensionUniqueName="[Facttable_ridership]" displayFolder="" count="2"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2"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2" memberValueDatatype="130" unbalanced="0"/>
    <cacheHierarchy uniqueName="[Facttable_ridership].[Time (Hour)]" caption="Time (Hour)" attribute="1" defaultMemberUniqueName="[Facttable_ridership].[Time (Hour)].[All]" allUniqueName="[Facttable_ridership].[Time (Hour)].[All]" dimensionUniqueName="[Facttable_ridership]" displayFolder="" count="2"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2"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oneField="1">
      <fieldsUsage count="1">
        <fieldUsage x="2"/>
      </fieldsUsage>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cacheHierarchy uniqueName="[Measures].[Revenue]" caption="Revenue" measure="1" displayFolder="" measureGroup="Calculation" count="0"/>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65277779" backgroundQuery="1" createdVersion="8" refreshedVersion="8" minRefreshableVersion="3" recordCount="0" supportSubquery="1" supportAdvancedDrill="1" xr:uid="{67ABB70A-39C0-4729-B4EC-7E1591927C33}">
  <cacheSource type="external" connectionId="7"/>
  <cacheFields count="3">
    <cacheField name="[Measures].[Sum of NumberOfRiders]" caption="Sum of NumberOfRiders" numFmtId="0" hierarchy="42" level="32767"/>
    <cacheField name="[Measures].[Average of NumberOfRiders]" caption="Average of NumberOfRiders" numFmtId="0" hierarchy="43" level="32767"/>
    <cacheField name="[Dim_routes].[RouteName].[RouteName]" caption="RouteName" numFmtId="0" hierarchy="19" level="1">
      <sharedItems containsSemiMixedTypes="0" containsNonDate="0" containsString="0"/>
    </cacheField>
  </cacheFields>
  <cacheHierarchies count="59">
    <cacheHierarchy uniqueName="[Calculation].[Column1]" caption="Column1" attribute="1" defaultMemberUniqueName="[Calculation].[Column1].[All]" allUniqueName="[Calculation].[Column1].[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WeekType]" caption="WeekType" attribute="1" defaultMemberUniqueName="[Dim_Date].[WeekType].[All]" allUniqueName="[Dim_Date].[WeekType].[All]" dimensionUniqueName="[Dim_Dat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2"/>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0" memberValueDatatype="7" unbalanced="0"/>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0"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oneField="1">
      <fieldsUsage count="1">
        <fieldUsage x="0"/>
      </fieldsUsage>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oneField="1">
      <fieldsUsage count="1">
        <fieldUsage x="1"/>
      </fieldsUsage>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cacheHierarchy uniqueName="[Measures].[Revenue]" caption="Revenue" measure="1" displayFolder="" measureGroup="Calculation" count="0"/>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65740741" backgroundQuery="1" createdVersion="8" refreshedVersion="8" minRefreshableVersion="3" recordCount="0" supportSubquery="1" supportAdvancedDrill="1" xr:uid="{C9DB499C-7963-49AE-84AB-D55CD381D4D2}">
  <cacheSource type="external" connectionId="7"/>
  <cacheFields count="4">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Measures].[Total Buses]" caption="Total Buses" numFmtId="0" hierarchy="49" level="32767"/>
    <cacheField name="[Facttable_ridership].[Utilization Type].[Utilization Type]" caption="Utilization Type" numFmtId="0" hierarchy="35" level="1">
      <sharedItems count="3">
        <s v="Over Utilized"/>
        <s v="Under Utilized"/>
        <s v="Well Utilized"/>
      </sharedItems>
    </cacheField>
    <cacheField name="[Dim_routes].[RouteName].[RouteName]" caption="RouteName" numFmtId="0" hierarchy="19" level="1">
      <sharedItems containsSemiMixedTypes="0" containsNonDate="0" containsString="0"/>
    </cacheField>
  </cacheFields>
  <cacheHierarchies count="59">
    <cacheHierarchy uniqueName="[Calculation].[Column1]" caption="Column1" attribute="1" defaultMemberUniqueName="[Calculation].[Column1].[All]" allUniqueName="[Calculation].[Column1].[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WeekType]" caption="WeekType" attribute="1" defaultMemberUniqueName="[Dim_Date].[WeekType].[All]" allUniqueName="[Dim_Date].[WeekType].[All]" dimensionUniqueName="[Dim_Dat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3"/>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0"/>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0"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2" memberValueDatatype="130" unbalanced="0">
      <fieldsUsage count="2">
        <fieldUsage x="-1"/>
        <fieldUsage x="2"/>
      </fieldsUsage>
    </cacheHierarchy>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oneField="1">
      <fieldsUsage count="1">
        <fieldUsage x="1"/>
      </fieldsUsage>
    </cacheHierarchy>
    <cacheHierarchy uniqueName="[Measures].[Revenue]" caption="Revenue" measure="1" displayFolder="" measureGroup="Calculation" count="0"/>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6585648" backgroundQuery="1" createdVersion="8" refreshedVersion="8" minRefreshableVersion="3" recordCount="0" supportSubquery="1" supportAdvancedDrill="1" xr:uid="{16EF40A4-FF3F-40FF-91BB-0AE97F4CD4A7}">
  <cacheSource type="external" connectionId="7"/>
  <cacheFields count="3">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Measures].[Revenue]" caption="Revenue" numFmtId="0" hierarchy="50" level="32767"/>
    <cacheField name="[Dim_routes].[RouteName].[RouteName]" caption="RouteName" numFmtId="0" hierarchy="19" level="1">
      <sharedItems containsSemiMixedTypes="0" containsNonDate="0" containsString="0"/>
    </cacheField>
  </cacheFields>
  <cacheHierarchies count="59">
    <cacheHierarchy uniqueName="[Calculation].[Column1]" caption="Column1" attribute="1" defaultMemberUniqueName="[Calculation].[Column1].[All]" allUniqueName="[Calculation].[Column1].[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WeekType]" caption="WeekType" attribute="1" defaultMemberUniqueName="[Dim_Date].[WeekType].[All]" allUniqueName="[Dim_Date].[WeekType].[All]" dimensionUniqueName="[Dim_Dat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2"/>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0"/>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0"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cacheHierarchy uniqueName="[Measures].[Revenue]" caption="Revenue" measure="1" displayFolder="" measureGroup="Calculation" count="0" oneField="1">
      <fieldsUsage count="1">
        <fieldUsage x="1"/>
      </fieldsUsage>
    </cacheHierarchy>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6585648" backgroundQuery="1" createdVersion="8" refreshedVersion="8" minRefreshableVersion="3" recordCount="0" supportSubquery="1" supportAdvancedDrill="1" xr:uid="{09330E74-E694-49AE-BEC3-2B9190F2F46E}">
  <cacheSource type="external" connectionId="7"/>
  <cacheFields count="3">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Measures].[Total Trip]" caption="Total Trip" numFmtId="0" hierarchy="51" level="32767"/>
    <cacheField name="[Dim_routes].[RouteName].[RouteName]" caption="RouteName" numFmtId="0" hierarchy="19" level="1">
      <sharedItems containsSemiMixedTypes="0" containsNonDate="0" containsString="0"/>
    </cacheField>
  </cacheFields>
  <cacheHierarchies count="59">
    <cacheHierarchy uniqueName="[Calculation].[Column1]" caption="Column1" attribute="1" defaultMemberUniqueName="[Calculation].[Column1].[All]" allUniqueName="[Calculation].[Column1].[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WeekType]" caption="WeekType" attribute="1" defaultMemberUniqueName="[Dim_Date].[WeekType].[All]" allUniqueName="[Dim_Date].[WeekType].[All]" dimensionUniqueName="[Dim_Dat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2"/>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0"/>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0"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cacheHierarchy uniqueName="[Measures].[Revenue]" caption="Revenue" measure="1" displayFolder="" measureGroup="Calculation" count="0"/>
    <cacheHierarchy uniqueName="[Measures].[Total Trip]" caption="Total Trip" measure="1" displayFolder="" measureGroup="Calculation" count="0" oneField="1">
      <fieldsUsage count="1">
        <fieldUsage x="1"/>
      </fieldsUsage>
    </cacheHierarchy>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66203703" backgroundQuery="1" createdVersion="8" refreshedVersion="8" minRefreshableVersion="3" recordCount="0" supportSubquery="1" supportAdvancedDrill="1" xr:uid="{918508CC-B795-4A49-8DA0-02568835E22B}">
  <cacheSource type="external" connectionId="7"/>
  <cacheFields count="4">
    <cacheField name="[Dim_routes].[RouteName].[RouteName]" caption="RouteName" numFmtId="0" hierarchy="19" level="1">
      <sharedItems count="10">
        <s v="Airport Express"/>
        <s v="Beachfront Route"/>
        <s v="Central Line"/>
        <s v="City Shuttle"/>
        <s v="East-West Express"/>
        <s v="Market Line"/>
        <s v="North Circular"/>
        <s v="South Line"/>
        <s v="Suburban Line"/>
        <s v="University Line"/>
      </sharedItems>
    </cacheField>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Measures].[Sum of NumberOfRiders]" caption="Sum of NumberOfRiders" numFmtId="0" hierarchy="42" level="32767"/>
    <cacheField name="[Dim_buses].[BusID].[BusID]" caption="BusID" numFmtId="0" hierarchy="1" level="1">
      <sharedItems containsSemiMixedTypes="0" containsString="0" containsNumber="1" containsInteger="1" minValue="1" maxValue="40" count="40">
        <n v="1"/>
        <n v="2"/>
        <n v="3"/>
        <n v="4"/>
        <n v="5"/>
        <n v="6"/>
        <n v="7"/>
        <n v="8"/>
        <n v="9"/>
        <n v="10"/>
        <n v="11"/>
        <n v="12"/>
        <n v="13"/>
        <n v="14"/>
        <n v="15"/>
        <n v="16"/>
        <n v="17"/>
        <n v="18"/>
        <n v="19"/>
        <n v="20"/>
        <n v="21"/>
        <n v="22"/>
        <n v="23"/>
        <n v="24"/>
        <n v="25"/>
        <n v="26"/>
        <n v="27"/>
        <n v="28"/>
        <n v="29"/>
        <n v="30"/>
        <n v="31"/>
        <n v="32"/>
        <n v="33"/>
        <n v="34"/>
        <n v="35"/>
        <n v="36"/>
        <n v="37"/>
        <n v="38"/>
        <n v="39"/>
        <n v="40"/>
      </sharedItems>
      <extLst>
        <ext xmlns:x15="http://schemas.microsoft.com/office/spreadsheetml/2010/11/main" uri="{4F2E5C28-24EA-4eb8-9CBF-B6C8F9C3D259}">
          <x15:cachedUniqueNames>
            <x15:cachedUniqueName index="0" name="[Dim_buses].[BusID].&amp;[1]"/>
            <x15:cachedUniqueName index="1" name="[Dim_buses].[BusID].&amp;[2]"/>
            <x15:cachedUniqueName index="2" name="[Dim_buses].[BusID].&amp;[3]"/>
            <x15:cachedUniqueName index="3" name="[Dim_buses].[BusID].&amp;[4]"/>
            <x15:cachedUniqueName index="4" name="[Dim_buses].[BusID].&amp;[5]"/>
            <x15:cachedUniqueName index="5" name="[Dim_buses].[BusID].&amp;[6]"/>
            <x15:cachedUniqueName index="6" name="[Dim_buses].[BusID].&amp;[7]"/>
            <x15:cachedUniqueName index="7" name="[Dim_buses].[BusID].&amp;[8]"/>
            <x15:cachedUniqueName index="8" name="[Dim_buses].[BusID].&amp;[9]"/>
            <x15:cachedUniqueName index="9" name="[Dim_buses].[BusID].&amp;[10]"/>
            <x15:cachedUniqueName index="10" name="[Dim_buses].[BusID].&amp;[11]"/>
            <x15:cachedUniqueName index="11" name="[Dim_buses].[BusID].&amp;[12]"/>
            <x15:cachedUniqueName index="12" name="[Dim_buses].[BusID].&amp;[13]"/>
            <x15:cachedUniqueName index="13" name="[Dim_buses].[BusID].&amp;[14]"/>
            <x15:cachedUniqueName index="14" name="[Dim_buses].[BusID].&amp;[15]"/>
            <x15:cachedUniqueName index="15" name="[Dim_buses].[BusID].&amp;[16]"/>
            <x15:cachedUniqueName index="16" name="[Dim_buses].[BusID].&amp;[17]"/>
            <x15:cachedUniqueName index="17" name="[Dim_buses].[BusID].&amp;[18]"/>
            <x15:cachedUniqueName index="18" name="[Dim_buses].[BusID].&amp;[19]"/>
            <x15:cachedUniqueName index="19" name="[Dim_buses].[BusID].&amp;[20]"/>
            <x15:cachedUniqueName index="20" name="[Dim_buses].[BusID].&amp;[21]"/>
            <x15:cachedUniqueName index="21" name="[Dim_buses].[BusID].&amp;[22]"/>
            <x15:cachedUniqueName index="22" name="[Dim_buses].[BusID].&amp;[23]"/>
            <x15:cachedUniqueName index="23" name="[Dim_buses].[BusID].&amp;[24]"/>
            <x15:cachedUniqueName index="24" name="[Dim_buses].[BusID].&amp;[25]"/>
            <x15:cachedUniqueName index="25" name="[Dim_buses].[BusID].&amp;[26]"/>
            <x15:cachedUniqueName index="26" name="[Dim_buses].[BusID].&amp;[27]"/>
            <x15:cachedUniqueName index="27" name="[Dim_buses].[BusID].&amp;[28]"/>
            <x15:cachedUniqueName index="28" name="[Dim_buses].[BusID].&amp;[29]"/>
            <x15:cachedUniqueName index="29" name="[Dim_buses].[BusID].&amp;[30]"/>
            <x15:cachedUniqueName index="30" name="[Dim_buses].[BusID].&amp;[31]"/>
            <x15:cachedUniqueName index="31" name="[Dim_buses].[BusID].&amp;[32]"/>
            <x15:cachedUniqueName index="32" name="[Dim_buses].[BusID].&amp;[33]"/>
            <x15:cachedUniqueName index="33" name="[Dim_buses].[BusID].&amp;[34]"/>
            <x15:cachedUniqueName index="34" name="[Dim_buses].[BusID].&amp;[35]"/>
            <x15:cachedUniqueName index="35" name="[Dim_buses].[BusID].&amp;[36]"/>
            <x15:cachedUniqueName index="36" name="[Dim_buses].[BusID].&amp;[37]"/>
            <x15:cachedUniqueName index="37" name="[Dim_buses].[BusID].&amp;[38]"/>
            <x15:cachedUniqueName index="38" name="[Dim_buses].[BusID].&amp;[39]"/>
            <x15:cachedUniqueName index="39" name="[Dim_buses].[BusID].&amp;[40]"/>
          </x15:cachedUniqueNames>
        </ext>
      </extLst>
    </cacheField>
  </cacheFields>
  <cacheHierarchies count="59">
    <cacheHierarchy uniqueName="[Calculation].[Column1]" caption="Column1" attribute="1" defaultMemberUniqueName="[Calculation].[Column1].[All]" allUniqueName="[Calculation].[Column1].[All]" dimensionUniqueName="[Calculation]" displayFolder="" count="0" memberValueDatatype="130" unbalanced="0"/>
    <cacheHierarchy uniqueName="[Dim_buses].[BusID]" caption="BusID" attribute="1" defaultMemberUniqueName="[Dim_buses].[BusID].[All]" allUniqueName="[Dim_buses].[BusID].[All]" dimensionUniqueName="[Dim_buses]" displayFolder="" count="2" memberValueDatatype="20" unbalanced="0">
      <fieldsUsage count="2">
        <fieldUsage x="-1"/>
        <fieldUsage x="3"/>
      </fieldsUsage>
    </cacheHierarchy>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WeekType]" caption="WeekType" attribute="1" defaultMemberUniqueName="[Dim_Date].[WeekType].[All]" allUniqueName="[Dim_Date].[WeekType].[All]" dimensionUniqueName="[Dim_Dat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0"/>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1"/>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0"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oneField="1">
      <fieldsUsage count="1">
        <fieldUsage x="2"/>
      </fieldsUsage>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cacheHierarchy uniqueName="[Measures].[Revenue]" caption="Revenue" measure="1" displayFolder="" measureGroup="Calculation" count="0"/>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66666665" backgroundQuery="1" createdVersion="8" refreshedVersion="8" minRefreshableVersion="3" recordCount="0" supportSubquery="1" supportAdvancedDrill="1" xr:uid="{ABBB4C49-B917-4581-957E-48F3C291E538}">
  <cacheSource type="external" connectionId="7"/>
  <cacheFields count="5">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Facttable_ridership].[Operation moment].[Operation moment]" caption="Operation moment" numFmtId="0" hierarchy="31" level="1">
      <sharedItems count="2">
        <s v="AM"/>
        <s v="PM"/>
      </sharedItems>
    </cacheField>
    <cacheField name="[Measures].[Sum of NumberOfRiders]" caption="Sum of NumberOfRiders" numFmtId="0" hierarchy="42" level="32767"/>
    <cacheField name="[Dim_routes].[RouteName].[RouteName]" caption="RouteName" numFmtId="0" hierarchy="19" level="1">
      <sharedItems containsSemiMixedTypes="0" containsNonDate="0" containsString="0"/>
    </cacheField>
    <cacheField name="Unsupported0" numFmtId="0" hierarchy="59" level="32767">
      <extLst>
        <ext xmlns:x14="http://schemas.microsoft.com/office/spreadsheetml/2009/9/main" uri="{63CAB8AC-B538-458d-9737-405883B0398D}">
          <x14:cacheField ignore="1"/>
        </ext>
      </extLst>
    </cacheField>
  </cacheFields>
  <cacheHierarchies count="60">
    <cacheHierarchy uniqueName="[Calculation].[Column1]" caption="Column1" attribute="1" defaultMemberUniqueName="[Calculation].[Column1].[All]" allUniqueName="[Calculation].[Column1].[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WeekType]" caption="WeekType" attribute="1" defaultMemberUniqueName="[Dim_Date].[WeekType].[All]" allUniqueName="[Dim_Date].[WeekType].[All]" dimensionUniqueName="[Dim_Dat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3"/>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0"/>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2" memberValueDatatype="130" unbalanced="0">
      <fieldsUsage count="2">
        <fieldUsage x="-1"/>
        <fieldUsage x="1"/>
      </fieldsUsage>
    </cacheHierarchy>
    <cacheHierarchy uniqueName="[Facttable_ridership].[Time Group]" caption="Time Group" attribute="1" defaultMemberUniqueName="[Facttable_ridership].[Time Group].[All]" allUniqueName="[Facttable_ridership].[Time Group].[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0"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oneField="1">
      <fieldsUsage count="1">
        <fieldUsage x="2"/>
      </fieldsUsage>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cacheHierarchy uniqueName="[Measures].[Revenue]" caption="Revenue" measure="1" displayFolder="" measureGroup="Calculation" count="0"/>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y uniqueName="Unsupported0" caption="Column1" measure="1" count="0">
      <extLst>
        <ext xmlns:x14="http://schemas.microsoft.com/office/spreadsheetml/2009/9/main" uri="{8CF416AD-EC4C-4aba-99F5-12A058AE0983}">
          <x14:cacheHierarchy ignore="1"/>
        </ext>
      </extLst>
    </cacheHierarchy>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67013888" backgroundQuery="1" createdVersion="8" refreshedVersion="8" minRefreshableVersion="3" recordCount="0" supportSubquery="1" supportAdvancedDrill="1" xr:uid="{4709464C-D5C6-4DAA-A3CC-3985EC0EEFCF}">
  <cacheSource type="external" connectionId="7"/>
  <cacheFields count="4">
    <cacheField name="[Dim_routes].[RouteName].[RouteName]" caption="RouteName" numFmtId="0" hierarchy="19" level="1">
      <sharedItems count="10">
        <s v="Airport Express"/>
        <s v="Beachfront Route"/>
        <s v="Central Line"/>
        <s v="City Shuttle"/>
        <s v="East-West Express"/>
        <s v="Market Line"/>
        <s v="North Circular"/>
        <s v="South Line"/>
        <s v="Suburban Line"/>
        <s v="University Line"/>
      </sharedItems>
    </cacheField>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Measures].[Sum of NumberOfRiders]" caption="Sum of NumberOfRiders" numFmtId="0" hierarchy="42" level="32767"/>
    <cacheField name="[Dim_demographics].[Gender].[Gender]" caption="Gender" numFmtId="0" hierarchy="15" level="1">
      <sharedItems count="3">
        <s v="Female"/>
        <s v="Male"/>
        <s v="Other"/>
      </sharedItems>
    </cacheField>
  </cacheFields>
  <cacheHierarchies count="59">
    <cacheHierarchy uniqueName="[Calculation].[Column1]" caption="Column1" attribute="1" defaultMemberUniqueName="[Calculation].[Column1].[All]" allUniqueName="[Calculation].[Column1].[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WeekType]" caption="WeekType" attribute="1" defaultMemberUniqueName="[Dim_Date].[WeekType].[All]" allUniqueName="[Dim_Date].[WeekType].[All]" dimensionUniqueName="[Dim_Dat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3"/>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0"/>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1"/>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0"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oneField="1">
      <fieldsUsage count="1">
        <fieldUsage x="2"/>
      </fieldsUsage>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cacheHierarchy uniqueName="[Measures].[Revenue]" caption="Revenue" measure="1" displayFolder="" measureGroup="Calculation" count="0"/>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67361112" backgroundQuery="1" createdVersion="8" refreshedVersion="8" minRefreshableVersion="3" recordCount="0" supportSubquery="1" supportAdvancedDrill="1" xr:uid="{04FCF5D0-F7B3-466F-8B04-E6481F3A370C}">
  <cacheSource type="external" connectionId="7"/>
  <cacheFields count="4">
    <cacheField name="[Dim_routes].[RouteName].[RouteName]" caption="RouteName" numFmtId="0" hierarchy="19" level="1">
      <sharedItems count="10">
        <s v="Airport Express"/>
        <s v="Beachfront Route"/>
        <s v="Central Line"/>
        <s v="City Shuttle"/>
        <s v="East-West Express"/>
        <s v="Market Line"/>
        <s v="North Circular"/>
        <s v="South Line"/>
        <s v="Suburban Line"/>
        <s v="University Line"/>
      </sharedItems>
    </cacheField>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Measures].[Sum of NumberOfRiders]" caption="Sum of NumberOfRiders" numFmtId="0" hierarchy="42" level="32767"/>
    <cacheField name="[Dim_buses].[BusID].[BusID]" caption="BusID" numFmtId="0" hierarchy="1" level="1">
      <sharedItems containsSemiMixedTypes="0" containsString="0" containsNumber="1" containsInteger="1" minValue="1" maxValue="40" count="40">
        <n v="1"/>
        <n v="2"/>
        <n v="3"/>
        <n v="4"/>
        <n v="5"/>
        <n v="6"/>
        <n v="7"/>
        <n v="8"/>
        <n v="9"/>
        <n v="10"/>
        <n v="11"/>
        <n v="12"/>
        <n v="13"/>
        <n v="14"/>
        <n v="15"/>
        <n v="16"/>
        <n v="17"/>
        <n v="18"/>
        <n v="19"/>
        <n v="20"/>
        <n v="21"/>
        <n v="22"/>
        <n v="23"/>
        <n v="24"/>
        <n v="25"/>
        <n v="26"/>
        <n v="27"/>
        <n v="28"/>
        <n v="29"/>
        <n v="30"/>
        <n v="31"/>
        <n v="32"/>
        <n v="33"/>
        <n v="34"/>
        <n v="35"/>
        <n v="36"/>
        <n v="37"/>
        <n v="38"/>
        <n v="39"/>
        <n v="40"/>
      </sharedItems>
      <extLst>
        <ext xmlns:x15="http://schemas.microsoft.com/office/spreadsheetml/2010/11/main" uri="{4F2E5C28-24EA-4eb8-9CBF-B6C8F9C3D259}">
          <x15:cachedUniqueNames>
            <x15:cachedUniqueName index="0" name="[Dim_buses].[BusID].&amp;[1]"/>
            <x15:cachedUniqueName index="1" name="[Dim_buses].[BusID].&amp;[2]"/>
            <x15:cachedUniqueName index="2" name="[Dim_buses].[BusID].&amp;[3]"/>
            <x15:cachedUniqueName index="3" name="[Dim_buses].[BusID].&amp;[4]"/>
            <x15:cachedUniqueName index="4" name="[Dim_buses].[BusID].&amp;[5]"/>
            <x15:cachedUniqueName index="5" name="[Dim_buses].[BusID].&amp;[6]"/>
            <x15:cachedUniqueName index="6" name="[Dim_buses].[BusID].&amp;[7]"/>
            <x15:cachedUniqueName index="7" name="[Dim_buses].[BusID].&amp;[8]"/>
            <x15:cachedUniqueName index="8" name="[Dim_buses].[BusID].&amp;[9]"/>
            <x15:cachedUniqueName index="9" name="[Dim_buses].[BusID].&amp;[10]"/>
            <x15:cachedUniqueName index="10" name="[Dim_buses].[BusID].&amp;[11]"/>
            <x15:cachedUniqueName index="11" name="[Dim_buses].[BusID].&amp;[12]"/>
            <x15:cachedUniqueName index="12" name="[Dim_buses].[BusID].&amp;[13]"/>
            <x15:cachedUniqueName index="13" name="[Dim_buses].[BusID].&amp;[14]"/>
            <x15:cachedUniqueName index="14" name="[Dim_buses].[BusID].&amp;[15]"/>
            <x15:cachedUniqueName index="15" name="[Dim_buses].[BusID].&amp;[16]"/>
            <x15:cachedUniqueName index="16" name="[Dim_buses].[BusID].&amp;[17]"/>
            <x15:cachedUniqueName index="17" name="[Dim_buses].[BusID].&amp;[18]"/>
            <x15:cachedUniqueName index="18" name="[Dim_buses].[BusID].&amp;[19]"/>
            <x15:cachedUniqueName index="19" name="[Dim_buses].[BusID].&amp;[20]"/>
            <x15:cachedUniqueName index="20" name="[Dim_buses].[BusID].&amp;[21]"/>
            <x15:cachedUniqueName index="21" name="[Dim_buses].[BusID].&amp;[22]"/>
            <x15:cachedUniqueName index="22" name="[Dim_buses].[BusID].&amp;[23]"/>
            <x15:cachedUniqueName index="23" name="[Dim_buses].[BusID].&amp;[24]"/>
            <x15:cachedUniqueName index="24" name="[Dim_buses].[BusID].&amp;[25]"/>
            <x15:cachedUniqueName index="25" name="[Dim_buses].[BusID].&amp;[26]"/>
            <x15:cachedUniqueName index="26" name="[Dim_buses].[BusID].&amp;[27]"/>
            <x15:cachedUniqueName index="27" name="[Dim_buses].[BusID].&amp;[28]"/>
            <x15:cachedUniqueName index="28" name="[Dim_buses].[BusID].&amp;[29]"/>
            <x15:cachedUniqueName index="29" name="[Dim_buses].[BusID].&amp;[30]"/>
            <x15:cachedUniqueName index="30" name="[Dim_buses].[BusID].&amp;[31]"/>
            <x15:cachedUniqueName index="31" name="[Dim_buses].[BusID].&amp;[32]"/>
            <x15:cachedUniqueName index="32" name="[Dim_buses].[BusID].&amp;[33]"/>
            <x15:cachedUniqueName index="33" name="[Dim_buses].[BusID].&amp;[34]"/>
            <x15:cachedUniqueName index="34" name="[Dim_buses].[BusID].&amp;[35]"/>
            <x15:cachedUniqueName index="35" name="[Dim_buses].[BusID].&amp;[36]"/>
            <x15:cachedUniqueName index="36" name="[Dim_buses].[BusID].&amp;[37]"/>
            <x15:cachedUniqueName index="37" name="[Dim_buses].[BusID].&amp;[38]"/>
            <x15:cachedUniqueName index="38" name="[Dim_buses].[BusID].&amp;[39]"/>
            <x15:cachedUniqueName index="39" name="[Dim_buses].[BusID].&amp;[40]"/>
          </x15:cachedUniqueNames>
        </ext>
      </extLst>
    </cacheField>
  </cacheFields>
  <cacheHierarchies count="59">
    <cacheHierarchy uniqueName="[Calculation].[Column1]" caption="Column1" attribute="1" defaultMemberUniqueName="[Calculation].[Column1].[All]" allUniqueName="[Calculation].[Column1].[All]" dimensionUniqueName="[Calculation]" displayFolder="" count="0" memberValueDatatype="130" unbalanced="0"/>
    <cacheHierarchy uniqueName="[Dim_buses].[BusID]" caption="BusID" attribute="1" defaultMemberUniqueName="[Dim_buses].[BusID].[All]" allUniqueName="[Dim_buses].[BusID].[All]" dimensionUniqueName="[Dim_buses]" displayFolder="" count="2" memberValueDatatype="20" unbalanced="0">
      <fieldsUsage count="2">
        <fieldUsage x="-1"/>
        <fieldUsage x="3"/>
      </fieldsUsage>
    </cacheHierarchy>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WeekType]" caption="WeekType" attribute="1" defaultMemberUniqueName="[Dim_Date].[WeekType].[All]" allUniqueName="[Dim_Date].[WeekType].[All]" dimensionUniqueName="[Dim_Dat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0"/>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1"/>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0"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oneField="1">
      <fieldsUsage count="1">
        <fieldUsage x="2"/>
      </fieldsUsage>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cacheHierarchy uniqueName="[Measures].[Revenue]" caption="Revenue" measure="1" displayFolder="" measureGroup="Calculation" count="0"/>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67708335" backgroundQuery="1" createdVersion="8" refreshedVersion="8" minRefreshableVersion="3" recordCount="0" supportSubquery="1" supportAdvancedDrill="1" xr:uid="{1D3FD88A-EE1D-4BF7-84FA-FDE9FF140705}">
  <cacheSource type="external" connectionId="7"/>
  <cacheFields count="5">
    <cacheField name="[Dim_routes].[RouteName].[RouteName]" caption="RouteName" numFmtId="0" hierarchy="19" level="1">
      <sharedItems count="10">
        <s v="Airport Express"/>
        <s v="Beachfront Route"/>
        <s v="Central Line"/>
        <s v="City Shuttle"/>
        <s v="East-West Express"/>
        <s v="Market Line"/>
        <s v="North Circular"/>
        <s v="South Line"/>
        <s v="Suburban Line"/>
        <s v="University Line"/>
      </sharedItems>
    </cacheField>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Measures].[Sum of NumberOfRiders]" caption="Sum of NumberOfRiders" numFmtId="0" hierarchy="42" level="32767"/>
    <cacheField name="[Dim_buses].[BusID].[BusID]" caption="BusID" numFmtId="0" hierarchy="1" level="1">
      <sharedItems count="40">
        <s v="Bus 1"/>
        <s v="Bus 10"/>
        <s v="Bus 11"/>
        <s v="Bus 12"/>
        <s v="Bus 13"/>
        <s v="Bus 14"/>
        <s v="Bus 15"/>
        <s v="Bus 16"/>
        <s v="Bus 17"/>
        <s v="Bus 18"/>
        <s v="Bus 19"/>
        <s v="Bus 2"/>
        <s v="Bus 20"/>
        <s v="Bus 21"/>
        <s v="Bus 22"/>
        <s v="Bus 23"/>
        <s v="Bus 24"/>
        <s v="Bus 25"/>
        <s v="Bus 26"/>
        <s v="Bus 27"/>
        <s v="Bus 28"/>
        <s v="Bus 29"/>
        <s v="Bus 3"/>
        <s v="Bus 30"/>
        <s v="Bus 31"/>
        <s v="Bus 32"/>
        <s v="Bus 33"/>
        <s v="Bus 34"/>
        <s v="Bus 35"/>
        <s v="Bus 36"/>
        <s v="Bus 37"/>
        <s v="Bus 38"/>
        <s v="Bus 39"/>
        <s v="Bus 4"/>
        <s v="Bus 40"/>
        <s v="Bus 5"/>
        <s v="Bus 6"/>
        <s v="Bus 7"/>
        <s v="Bus 8"/>
        <s v="Bus 9"/>
      </sharedItems>
    </cacheField>
    <cacheField name="[Dim_demographics].[Age Group].[Age Group]" caption="Age Group" numFmtId="0" hierarchy="17" level="1">
      <sharedItems count="6">
        <s v="18-30"/>
        <s v="30-40"/>
        <s v="40-50"/>
        <s v="50-60"/>
        <s v="60 Plus"/>
        <s v="Under 18"/>
      </sharedItems>
    </cacheField>
  </cacheFields>
  <cacheHierarchies count="59">
    <cacheHierarchy uniqueName="[Calculation].[Column1]" caption="Column1" attribute="1" defaultMemberUniqueName="[Calculation].[Column1].[All]" allUniqueName="[Calculation].[Column1].[All]" dimensionUniqueName="[Calculation]" displayFolder="" count="2" memberValueDatatype="130" unbalanced="0"/>
    <cacheHierarchy uniqueName="[Dim_buses].[BusID]" caption="BusID" attribute="1" defaultMemberUniqueName="[Dim_buses].[BusID].[All]" allUniqueName="[Dim_buses].[BusID].[All]" dimensionUniqueName="[Dim_buses]" displayFolder="" count="2" memberValueDatatype="20" unbalanced="0">
      <fieldsUsage count="2">
        <fieldUsage x="-1"/>
        <fieldUsage x="3"/>
      </fieldsUsage>
    </cacheHierarchy>
    <cacheHierarchy uniqueName="[Dim_buses].[RouteID]" caption="RouteID" attribute="1" defaultMemberUniqueName="[Dim_buses].[RouteID].[All]" allUniqueName="[Dim_buses].[RouteID].[All]" dimensionUniqueName="[Dim_buses]" displayFolder="" count="2" memberValueDatatype="20" unbalanced="0"/>
    <cacheHierarchy uniqueName="[Dim_buses].[BusNumber]" caption="BusNumber" attribute="1" defaultMemberUniqueName="[Dim_buses].[BusNumber].[All]" allUniqueName="[Dim_buses].[BusNumber].[All]" dimensionUniqueName="[Dim_buses]" displayFolder="" count="2" memberValueDatatype="130" unbalanced="0"/>
    <cacheHierarchy uniqueName="[Dim_buses].[Capacity]" caption="Capacity" attribute="1" defaultMemberUniqueName="[Dim_buses].[Capacity].[All]" allUniqueName="[Dim_buses].[Capacity].[All]" dimensionUniqueName="[Dim_buses]" displayFolder="" count="2" memberValueDatatype="20" unbalanced="0"/>
    <cacheHierarchy uniqueName="[Dim_Date].[Date]" caption="Date" attribute="1" time="1" defaultMemberUniqueName="[Dim_Date].[Date].[All]" allUniqueName="[Dim_Date].[Date].[All]" dimensionUniqueName="[Dim_Date]" displayFolder="" count="2"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Name]" caption="Month Name" attribute="1" defaultMemberUniqueName="[Dim_Date].[Month Name].[All]" allUniqueName="[Dim_Date].[Month Name].[All]" dimensionUniqueName="[Dim_Date]" displayFolder="" count="2" memberValueDatatype="130" unbalanced="0"/>
    <cacheHierarchy uniqueName="[Dim_Date].[Month]" caption="Month" attribute="1" defaultMemberUniqueName="[Dim_Date].[Month].[All]" allUniqueName="[Dim_Date].[Month].[All]" dimensionUniqueName="[Dim_Date]" displayFolder="" count="2" memberValueDatatype="20" unbalanced="0"/>
    <cacheHierarchy uniqueName="[Dim_Date].[Day Name]" caption="Day Name" attribute="1" defaultMemberUniqueName="[Dim_Date].[Day Name].[All]" allUniqueName="[Dim_Date].[Day Name].[All]" dimensionUniqueName="[Dim_Date]" displayFolder="" count="2" memberValueDatatype="130" unbalanced="0"/>
    <cacheHierarchy uniqueName="[Dim_Date].[Day of Week]" caption="Day of Week" attribute="1" defaultMemberUniqueName="[Dim_Date].[Day of Week].[All]" allUniqueName="[Dim_Date].[Day of Week].[All]" dimensionUniqueName="[Dim_Date]" displayFolder="" count="2" memberValueDatatype="20" unbalanced="0"/>
    <cacheHierarchy uniqueName="[Dim_Date].[Quarter]" caption="Quarter" attribute="1" defaultMemberUniqueName="[Dim_Date].[Quarter].[All]" allUniqueName="[Dim_Date].[Quarter].[All]" dimensionUniqueName="[Dim_Date]" displayFolder="" count="2" memberValueDatatype="130" unbalanced="0"/>
    <cacheHierarchy uniqueName="[Dim_Date].[WeekType]" caption="WeekType" attribute="1" defaultMemberUniqueName="[Dim_Date].[WeekType].[All]" allUniqueName="[Dim_Date].[WeekType].[All]" dimensionUniqueName="[Dim_Date]" displayFolder="" count="2" memberValueDatatype="130" unbalanced="0"/>
    <cacheHierarchy uniqueName="[Dim_demographics].[RiderID]" caption="RiderID" attribute="1" defaultMemberUniqueName="[Dim_demographics].[RiderID].[All]" allUniqueName="[Dim_demographics].[RiderID].[All]" dimensionUniqueName="[Dim_demographics]" displayFolder="" count="2" memberValueDatatype="20" unbalanced="0"/>
    <cacheHierarchy uniqueName="[Dim_demographics].[Age]" caption="Age" attribute="1" defaultMemberUniqueName="[Dim_demographics].[Age].[All]" allUniqueName="[Dim_demographics].[Age].[All]" dimensionUniqueName="[Dim_demographics]" displayFolder="" count="2"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2" memberValueDatatype="130" unbalanced="0"/>
    <cacheHierarchy uniqueName="[Dim_demographics].[Age Group]" caption="Age Group" attribute="1" defaultMemberUniqueName="[Dim_demographics].[Age Group].[All]" allUniqueName="[Dim_demographics].[Age Group].[All]" dimensionUniqueName="[Dim_demographics]" displayFolder="" count="2" memberValueDatatype="130" unbalanced="0">
      <fieldsUsage count="2">
        <fieldUsage x="-1"/>
        <fieldUsage x="4"/>
      </fieldsUsage>
    </cacheHierarchy>
    <cacheHierarchy uniqueName="[Dim_routes].[RouteID]" caption="RouteID" attribute="1" defaultMemberUniqueName="[Dim_routes].[RouteID].[All]" allUniqueName="[Dim_routes].[RouteID].[All]" dimensionUniqueName="[Dim_routes]" displayFolder="" count="2"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0"/>
      </fieldsUsage>
    </cacheHierarchy>
    <cacheHierarchy uniqueName="[Dim_routes].[StartLocation]" caption="StartLocation" attribute="1" defaultMemberUniqueName="[Dim_routes].[StartLocation].[All]" allUniqueName="[Dim_routes].[StartLocation].[All]" dimensionUniqueName="[Dim_routes]" displayFolder="" count="2" memberValueDatatype="130" unbalanced="0"/>
    <cacheHierarchy uniqueName="[Dim_routes].[EndLocation]" caption="EndLocation" attribute="1" defaultMemberUniqueName="[Dim_routes].[EndLocation].[All]" allUniqueName="[Dim_routes].[EndLocation].[All]" dimensionUniqueName="[Dim_routes]" displayFolder="" count="2" memberValueDatatype="130" unbalanced="0"/>
    <cacheHierarchy uniqueName="[Dim_routes].[TripFee]" caption="TripFee" attribute="1" defaultMemberUniqueName="[Dim_routes].[TripFee].[All]" allUniqueName="[Dim_routes].[TripFee].[All]" dimensionUniqueName="[Dim_routes]" displayFolder="" count="2" memberValueDatatype="20" unbalanced="0"/>
    <cacheHierarchy uniqueName="[Dim_routes].[TakeOffTime]" caption="TakeOffTime" attribute="1" time="1" defaultMemberUniqueName="[Dim_routes].[TakeOffTime].[All]" allUniqueName="[Dim_routes].[TakeOffTime].[All]" dimensionUniqueName="[Dim_routes]" displayFolder="" count="2" memberValueDatatype="7" unbalanced="0"/>
    <cacheHierarchy uniqueName="[Dim_routes].[ArrivalTime]" caption="ArrivalTime" attribute="1" time="1" defaultMemberUniqueName="[Dim_routes].[ArrivalTime].[All]" allUniqueName="[Dim_routes].[ArrivalTime].[All]" dimensionUniqueName="[Dim_routes]" displayFolder="" count="2" memberValueDatatype="7" unbalanced="0"/>
    <cacheHierarchy uniqueName="[Facttable_ridership].[RecordID]" caption="RecordID" attribute="1" defaultMemberUniqueName="[Facttable_ridership].[RecordID].[All]" allUniqueName="[Facttable_ridership].[RecordID].[All]" dimensionUniqueName="[Facttable_ridership]" displayFolder="" count="2" memberValueDatatype="20" unbalanced="0"/>
    <cacheHierarchy uniqueName="[Facttable_ridership].[BusID]" caption="BusID" attribute="1" defaultMemberUniqueName="[Facttable_ridership].[BusID].[All]" allUniqueName="[Facttable_ridership].[BusID].[All]" dimensionUniqueName="[Facttable_ridership]" displayFolder="" count="2" memberValueDatatype="20" unbalanced="0"/>
    <cacheHierarchy uniqueName="[Facttable_ridership].[Date]" caption="Date" attribute="1" time="1" defaultMemberUniqueName="[Facttable_ridership].[Date].[All]" allUniqueName="[Facttable_ridership].[Date].[All]" dimensionUniqueName="[Facttable_ridership]" displayFolder="" count="2"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1"/>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2" memberValueDatatype="20" unbalanced="0"/>
    <cacheHierarchy uniqueName="[Facttable_ridership].[RiderID]" caption="RiderID" attribute="1" defaultMemberUniqueName="[Facttable_ridership].[RiderID].[All]" allUniqueName="[Facttable_ridership].[RiderID].[All]" dimensionUniqueName="[Facttable_ridership]" displayFolder="" count="2"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2"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2" memberValueDatatype="130" unbalanced="0"/>
    <cacheHierarchy uniqueName="[Facttable_ridership].[Capacity]" caption="Capacity" attribute="1" defaultMemberUniqueName="[Facttable_ridership].[Capacity].[All]" allUniqueName="[Facttable_ridership].[Capacity].[All]" dimensionUniqueName="[Facttable_ridership]" displayFolder="" count="2"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2"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2" memberValueDatatype="130" unbalanced="0"/>
    <cacheHierarchy uniqueName="[Facttable_ridership].[Time (Hour)]" caption="Time (Hour)" attribute="1" defaultMemberUniqueName="[Facttable_ridership].[Time (Hour)].[All]" allUniqueName="[Facttable_ridership].[Time (Hour)].[All]" dimensionUniqueName="[Facttable_ridership]" displayFolder="" count="2"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2"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oneField="1">
      <fieldsUsage count="1">
        <fieldUsage x="2"/>
      </fieldsUsage>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cacheHierarchy uniqueName="[Measures].[Revenue]" caption="Revenue" measure="1" displayFolder="" measureGroup="Calculation" count="0"/>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67824074" backgroundQuery="1" createdVersion="8" refreshedVersion="8" minRefreshableVersion="3" recordCount="0" supportSubquery="1" supportAdvancedDrill="1" xr:uid="{7B1A6F80-0C78-452C-B3BB-342FE817B7D7}">
  <cacheSource type="external" connectionId="7"/>
  <cacheFields count="3">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Measures].[Average Age]" caption="Average Age" numFmtId="0" hierarchy="48" level="32767"/>
    <cacheField name="[Dim_routes].[RouteName].[RouteName]" caption="RouteName" numFmtId="0" hierarchy="19" level="1">
      <sharedItems containsSemiMixedTypes="0" containsNonDate="0" containsString="0"/>
    </cacheField>
  </cacheFields>
  <cacheHierarchies count="59">
    <cacheHierarchy uniqueName="[Calculation].[Column1]" caption="Column1" attribute="1" defaultMemberUniqueName="[Calculation].[Column1].[All]" allUniqueName="[Calculation].[Column1].[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WeekType]" caption="WeekType" attribute="1" defaultMemberUniqueName="[Dim_Date].[WeekType].[All]" allUniqueName="[Dim_Date].[WeekType].[All]" dimensionUniqueName="[Dim_Dat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2"/>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0"/>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0"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oneField="1">
      <fieldsUsage count="1">
        <fieldUsage x="1"/>
      </fieldsUsage>
    </cacheHierarchy>
    <cacheHierarchy uniqueName="[Measures].[Total Buses]" caption="Total Buses" measure="1" displayFolder="" measureGroup="Calculation" count="0"/>
    <cacheHierarchy uniqueName="[Measures].[Revenue]" caption="Revenue" measure="1" displayFolder="" measureGroup="Calculation" count="0"/>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68171297" backgroundQuery="1" createdVersion="8" refreshedVersion="8" minRefreshableVersion="3" recordCount="0" supportSubquery="1" supportAdvancedDrill="1" xr:uid="{12B9E89D-A864-4DE0-9FB9-E20BC5A77770}">
  <cacheSource type="external" connectionId="7"/>
  <cacheFields count="5">
    <cacheField name="[Measures].[Sum of NumberOfRiders]" caption="Sum of NumberOfRiders" numFmtId="0" hierarchy="42" level="32767"/>
    <cacheField name="[Facttable_ridership].[Time Group].[Time Group]" caption="Time Group" numFmtId="0" hierarchy="32" level="1">
      <sharedItems count="3">
        <s v="12 AM - 12 PM"/>
        <s v="12 PM - 5 PM"/>
        <s v="5 PM - 12 AM"/>
      </sharedItems>
    </cacheField>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Dim_Date].[Day Name].[Day Name]" caption="Day Name" numFmtId="0" hierarchy="9" level="1">
      <sharedItems count="7">
        <s v="Sun"/>
        <s v="Mon"/>
        <s v="Tue"/>
        <s v="Wed"/>
        <s v="Thu"/>
        <s v="Fri"/>
        <s v="Sat"/>
      </sharedItems>
    </cacheField>
    <cacheField name="[Dim_routes].[RouteName].[RouteName]" caption="RouteName" numFmtId="0" hierarchy="19" level="1">
      <sharedItems containsSemiMixedTypes="0" containsNonDate="0" containsString="0"/>
    </cacheField>
  </cacheFields>
  <cacheHierarchies count="59">
    <cacheHierarchy uniqueName="[Calculation].[Column1]" caption="Column1" attribute="1" defaultMemberUniqueName="[Calculation].[Column1].[All]" allUniqueName="[Calculation].[Column1].[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Day Name]" caption="Day Name" attribute="1" defaultMemberUniqueName="[Dim_Date].[Day Name].[All]" allUniqueName="[Dim_Date].[Day Name].[All]" dimensionUniqueName="[Dim_Date]" displayFolder="" count="2" memberValueDatatype="130" unbalanced="0">
      <fieldsUsage count="2">
        <fieldUsage x="-1"/>
        <fieldUsage x="3"/>
      </fieldsUsage>
    </cacheHierarchy>
    <cacheHierarchy uniqueName="[Dim_Date].[Day of Week]" caption="Day of Week" attribute="1" defaultMemberUniqueName="[Dim_Date].[Day of Week].[All]" allUniqueName="[Dim_Date].[Day of Week].[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WeekType]" caption="WeekType" attribute="1" defaultMemberUniqueName="[Dim_Date].[WeekType].[All]" allUniqueName="[Dim_Date].[WeekType].[All]" dimensionUniqueName="[Dim_Dat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4"/>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2"/>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2" memberValueDatatype="130" unbalanced="0">
      <fieldsUsage count="2">
        <fieldUsage x="-1"/>
        <fieldUsage x="1"/>
      </fieldsUsage>
    </cacheHierarchy>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0"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oneField="1">
      <fieldsUsage count="1">
        <fieldUsage x="0"/>
      </fieldsUsage>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cacheHierarchy uniqueName="[Measures].[Revenue]" caption="Revenue" measure="1" displayFolder="" measureGroup="Calculation" count="0"/>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6851852" backgroundQuery="1" createdVersion="8" refreshedVersion="8" minRefreshableVersion="3" recordCount="0" supportSubquery="1" supportAdvancedDrill="1" xr:uid="{7B8CDBBA-C1C5-4119-90B7-8E0CE0AEF414}">
  <cacheSource type="external" connectionId="7"/>
  <cacheFields count="3">
    <cacheField name="[Measures].[Sum of NumberOfRiders]" caption="Sum of NumberOfRiders" numFmtId="0" hierarchy="42" level="32767"/>
    <cacheField name="[Facttable_ridership].[Time Group].[Time Group]" caption="Time Group" numFmtId="0" hierarchy="32" level="1">
      <sharedItems count="3">
        <s v="12 AM - 12 PM"/>
        <s v="12 PM - 5 PM"/>
        <s v="5 PM - 12 AM"/>
      </sharedItems>
    </cacheField>
    <cacheField name="[Dim_routes].[RouteName].[RouteName]" caption="RouteName" numFmtId="0" hierarchy="19" level="1">
      <sharedItems containsSemiMixedTypes="0" containsNonDate="0" containsString="0"/>
    </cacheField>
  </cacheFields>
  <cacheHierarchies count="59">
    <cacheHierarchy uniqueName="[Calculation].[Column1]" caption="Column1" attribute="1" defaultMemberUniqueName="[Calculation].[Column1].[All]" allUniqueName="[Calculation].[Column1].[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WeekType]" caption="WeekType" attribute="1" defaultMemberUniqueName="[Dim_Date].[WeekType].[All]" allUniqueName="[Dim_Date].[WeekType].[All]" dimensionUniqueName="[Dim_Dat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2"/>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0" memberValueDatatype="7" unbalanced="0"/>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2" memberValueDatatype="130" unbalanced="0">
      <fieldsUsage count="2">
        <fieldUsage x="-1"/>
        <fieldUsage x="1"/>
      </fieldsUsage>
    </cacheHierarchy>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0"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oneField="1">
      <fieldsUsage count="1">
        <fieldUsage x="0"/>
      </fieldsUsage>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cacheHierarchy uniqueName="[Measures].[Revenue]" caption="Revenue" measure="1" displayFolder="" measureGroup="Calculation" count="0"/>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68865743" backgroundQuery="1" createdVersion="8" refreshedVersion="8" minRefreshableVersion="3" recordCount="0" supportSubquery="1" supportAdvancedDrill="1" xr:uid="{66E997A6-7D9E-4D57-B931-BEA31BA346B8}">
  <cacheSource type="external" connectionId="7"/>
  <cacheFields count="4">
    <cacheField name="[Measures].[Sum of NumberOfRiders]" caption="Sum of NumberOfRiders" numFmtId="0" hierarchy="42" level="32767"/>
    <cacheField name="[Facttable_ridership].[Time Group].[Time Group]" caption="Time Group" numFmtId="0" hierarchy="32" level="1">
      <sharedItems count="3">
        <s v="12 AM - 12 PM"/>
        <s v="12 PM - 5 PM"/>
        <s v="5 PM - 12 AM"/>
      </sharedItems>
    </cacheField>
    <cacheField name="[Facttable_ridership].[Time].[Time]" caption="Time" numFmtId="0" hierarchy="28" level="1">
      <sharedItems containsSemiMixedTypes="0" containsNonDate="0" containsDate="1" containsString="0" minDate="1899-12-30T20:57:00" maxDate="1899-12-30T20:57:00" count="1">
        <d v="1899-12-30T20:57:00"/>
      </sharedItems>
      <extLst>
        <ext xmlns:x15="http://schemas.microsoft.com/office/spreadsheetml/2010/11/main" uri="{4F2E5C28-24EA-4eb8-9CBF-B6C8F9C3D259}">
          <x15:cachedUniqueNames>
            <x15:cachedUniqueName index="0" name="[Facttable_ridership].[Time].&amp;[1899-12-30T20:57:00]"/>
          </x15:cachedUniqueNames>
        </ext>
      </extLst>
    </cacheField>
    <cacheField name="[Dim_routes].[RouteName].[RouteName]" caption="RouteName" numFmtId="0" hierarchy="19" level="1">
      <sharedItems containsSemiMixedTypes="0" containsNonDate="0" containsString="0"/>
    </cacheField>
  </cacheFields>
  <cacheHierarchies count="59">
    <cacheHierarchy uniqueName="[Calculation].[Column1]" caption="Column1" attribute="1" defaultMemberUniqueName="[Calculation].[Column1].[All]" allUniqueName="[Calculation].[Column1].[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WeekType]" caption="WeekType" attribute="1" defaultMemberUniqueName="[Dim_Date].[WeekType].[All]" allUniqueName="[Dim_Date].[WeekType].[All]" dimensionUniqueName="[Dim_Dat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3"/>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2"/>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2" memberValueDatatype="130" unbalanced="0">
      <fieldsUsage count="2">
        <fieldUsage x="-1"/>
        <fieldUsage x="1"/>
      </fieldsUsage>
    </cacheHierarchy>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0"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oneField="1">
      <fieldsUsage count="1">
        <fieldUsage x="0"/>
      </fieldsUsage>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cacheHierarchy uniqueName="[Measures].[Revenue]" caption="Revenue" measure="1" displayFolder="" measureGroup="Calculation" count="0"/>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69212967" backgroundQuery="1" createdVersion="8" refreshedVersion="8" minRefreshableVersion="3" recordCount="0" supportSubquery="1" supportAdvancedDrill="1" xr:uid="{748EED98-F65B-49EB-99F1-E7BF8FD8C223}">
  <cacheSource type="external" connectionId="7"/>
  <cacheFields count="4">
    <cacheField name="[Measures].[Sum of NumberOfRiders]" caption="Sum of NumberOfRiders" numFmtId="0" hierarchy="42" level="32767"/>
    <cacheField name="[Facttable_ridership].[Time Group].[Time Group]" caption="Time Group" numFmtId="0" hierarchy="32" level="1">
      <sharedItems count="3">
        <s v="12 AM - 12 PM"/>
        <s v="12 PM - 5 PM"/>
        <s v="5 PM - 12 AM"/>
      </sharedItems>
    </cacheField>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Dim_routes].[RouteName].[RouteName]" caption="RouteName" numFmtId="0" hierarchy="19" level="1">
      <sharedItems containsSemiMixedTypes="0" containsNonDate="0" containsString="0"/>
    </cacheField>
  </cacheFields>
  <cacheHierarchies count="59">
    <cacheHierarchy uniqueName="[Calculation].[Column1]" caption="Column1" attribute="1" defaultMemberUniqueName="[Calculation].[Column1].[All]" allUniqueName="[Calculation].[Column1].[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WeekType]" caption="WeekType" attribute="1" defaultMemberUniqueName="[Dim_Date].[WeekType].[All]" allUniqueName="[Dim_Date].[WeekType].[All]" dimensionUniqueName="[Dim_Dat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3"/>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2"/>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2" memberValueDatatype="130" unbalanced="0">
      <fieldsUsage count="2">
        <fieldUsage x="-1"/>
        <fieldUsage x="1"/>
      </fieldsUsage>
    </cacheHierarchy>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0"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oneField="1">
      <fieldsUsage count="1">
        <fieldUsage x="0"/>
      </fieldsUsage>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cacheHierarchy uniqueName="[Measures].[Revenue]" caption="Revenue" measure="1" displayFolder="" measureGroup="Calculation" count="0"/>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69675928" backgroundQuery="1" createdVersion="8" refreshedVersion="8" minRefreshableVersion="3" recordCount="0" supportSubquery="1" supportAdvancedDrill="1" xr:uid="{8EA64168-B38B-4CE2-A480-DE61C1C59134}">
  <cacheSource type="external" connectionId="7"/>
  <cacheFields count="6">
    <cacheField name="[Measures].[Sum of NumberOfRiders]" caption="Sum of NumberOfRiders" numFmtId="0" hierarchy="42" level="32767"/>
    <cacheField name="[Facttable_ridership].[Time Group].[Time Group]" caption="Time Group" numFmtId="0" hierarchy="32" level="1">
      <sharedItems count="3">
        <s v="12 AM - 12 PM"/>
        <s v="12 PM - 5 PM"/>
        <s v="5 PM - 12 AM"/>
      </sharedItems>
    </cacheField>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Dim_Date].[Year].[Year]" caption="Year" numFmtId="0" hierarchy="6" level="1">
      <sharedItems containsSemiMixedTypes="0" containsString="0" containsNumber="1" containsInteger="1" minValue="2023" maxValue="2024" count="2">
        <n v="2023"/>
        <n v="2024"/>
      </sharedItems>
      <extLst>
        <ext xmlns:x15="http://schemas.microsoft.com/office/spreadsheetml/2010/11/main" uri="{4F2E5C28-24EA-4eb8-9CBF-B6C8F9C3D259}">
          <x15:cachedUniqueNames>
            <x15:cachedUniqueName index="0" name="[Dim_Date].[Year].&amp;[2023]"/>
            <x15:cachedUniqueName index="1" name="[Dim_Date].[Year].&amp;[2024]"/>
          </x15:cachedUniqueNames>
        </ext>
      </extLst>
    </cacheField>
    <cacheField name="[Dim_routes].[RouteName].[RouteName]" caption="RouteName" numFmtId="0" hierarchy="19" level="1">
      <sharedItems containsSemiMixedTypes="0" containsNonDate="0" containsString="0"/>
    </cacheField>
    <cacheField name="Unsupported0" numFmtId="0" hierarchy="59" level="32767">
      <extLst>
        <ext xmlns:x14="http://schemas.microsoft.com/office/spreadsheetml/2009/9/main" uri="{63CAB8AC-B538-458d-9737-405883B0398D}">
          <x14:cacheField ignore="1"/>
        </ext>
      </extLst>
    </cacheField>
  </cacheFields>
  <cacheHierarchies count="60">
    <cacheHierarchy uniqueName="[Calculation].[Column1]" caption="Column1" attribute="1" defaultMemberUniqueName="[Calculation].[Column1].[All]" allUniqueName="[Calculation].[Column1].[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2" memberValueDatatype="20" unbalanced="0">
      <fieldsUsage count="2">
        <fieldUsage x="-1"/>
        <fieldUsage x="3"/>
      </fieldsUsage>
    </cacheHierarchy>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WeekType]" caption="WeekType" attribute="1" defaultMemberUniqueName="[Dim_Date].[WeekType].[All]" allUniqueName="[Dim_Date].[WeekType].[All]" dimensionUniqueName="[Dim_Dat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4"/>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2"/>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2" memberValueDatatype="130" unbalanced="0">
      <fieldsUsage count="2">
        <fieldUsage x="-1"/>
        <fieldUsage x="1"/>
      </fieldsUsage>
    </cacheHierarchy>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0"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oneField="1">
      <fieldsUsage count="1">
        <fieldUsage x="0"/>
      </fieldsUsage>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cacheHierarchy uniqueName="[Measures].[Revenue]" caption="Revenue" measure="1" displayFolder="" measureGroup="Calculation" count="0"/>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y uniqueName="Unsupported0" caption="Column1" measure="1" count="0">
      <extLst>
        <ext xmlns:x14="http://schemas.microsoft.com/office/spreadsheetml/2009/9/main" uri="{8CF416AD-EC4C-4aba-99F5-12A058AE0983}">
          <x14:cacheHierarchy ignore="1"/>
        </ext>
      </extLst>
    </cacheHierarchy>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6021.088870023152" backgroundQuery="1" createdVersion="8" refreshedVersion="8" minRefreshableVersion="3" recordCount="0" supportSubquery="1" supportAdvancedDrill="1" xr:uid="{F3FD7D66-8317-409C-869F-B853E3712ABB}">
  <cacheSource type="external" connectionId="7"/>
  <cacheFields count="5">
    <cacheField name="[Measures].[Sum of NumberOfRiders]" caption="Sum of NumberOfRiders" numFmtId="0" hierarchy="42" level="32767"/>
    <cacheField name="[Facttable_ridership].[Time Group].[Time Group]" caption="Time Group" numFmtId="0" hierarchy="32" level="1">
      <sharedItems count="3">
        <s v="12 AM - 12 PM"/>
        <s v="12 PM - 5 PM"/>
        <s v="5 PM - 12 AM"/>
      </sharedItems>
    </cacheField>
    <cacheField name="[Facttable_ridership].[Time].[Time]" caption="Time" numFmtId="0" hierarchy="28"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table_ridership].[Time].&amp;[1899-12-30T19:50:00]"/>
          </x15:cachedUniqueNames>
        </ext>
      </extLst>
    </cacheField>
    <cacheField name="[Dim_Date].[Month Name].[Month Name]" caption="Month Name" numFmtId="0" hierarchy="7" level="1">
      <sharedItems count="2">
        <s v="Jan"/>
        <s v="Dec"/>
      </sharedItems>
    </cacheField>
    <cacheField name="[Dim_routes].[RouteName].[RouteName]" caption="RouteName" numFmtId="0" hierarchy="19" level="1">
      <sharedItems containsSemiMixedTypes="0" containsNonDate="0" containsString="0"/>
    </cacheField>
  </cacheFields>
  <cacheHierarchies count="59">
    <cacheHierarchy uniqueName="[Calculation].[Column1]" caption="Column1" attribute="1" defaultMemberUniqueName="[Calculation].[Column1].[All]" allUniqueName="[Calculation].[Column1].[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Name]" caption="Month Name" attribute="1" defaultMemberUniqueName="[Dim_Date].[Month Name].[All]" allUniqueName="[Dim_Date].[Month Name].[All]" dimensionUniqueName="[Dim_Date]" displayFolder="" count="2" memberValueDatatype="130" unbalanced="0">
      <fieldsUsage count="2">
        <fieldUsage x="-1"/>
        <fieldUsage x="3"/>
      </fieldsUsage>
    </cacheHierarchy>
    <cacheHierarchy uniqueName="[Dim_Date].[Month]" caption="Month" attribute="1" defaultMemberUniqueName="[Dim_Date].[Month].[All]" allUniqueName="[Dim_Date].[Month].[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WeekType]" caption="WeekType" attribute="1" defaultMemberUniqueName="[Dim_Date].[WeekType].[All]" allUniqueName="[Dim_Date].[WeekType].[All]" dimensionUniqueName="[Dim_Dat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4"/>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2" memberValueDatatype="7" unbalanced="0">
      <fieldsUsage count="2">
        <fieldUsage x="-1"/>
        <fieldUsage x="2"/>
      </fieldsUsage>
    </cacheHierarchy>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2" memberValueDatatype="130" unbalanced="0">
      <fieldsUsage count="2">
        <fieldUsage x="-1"/>
        <fieldUsage x="1"/>
      </fieldsUsage>
    </cacheHierarchy>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0"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oneField="1">
      <fieldsUsage count="1">
        <fieldUsage x="0"/>
      </fieldsUsage>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cacheHierarchy uniqueName="[Measures].[Revenue]" caption="Revenue" measure="1" displayFolder="" measureGroup="Calculation" count="0"/>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ies>
  <kpis count="0"/>
  <dimensions count="7">
    <dimension name="Calculation" uniqueName="[Calculation]" caption="Calculation"/>
    <dimension name="Dim_buses" uniqueName="[Dim_buses]" caption="Dim_buses"/>
    <dimension name="Dim_Date" uniqueName="[Dim_Date]" caption="Dim_Date"/>
    <dimension name="Dim_demographics" uniqueName="[Dim_demographics]" caption="Dim_demographics"/>
    <dimension name="Dim_routes" uniqueName="[Dim_routes]" caption="Dim_routes"/>
    <dimension name="Facttable_ridership" uniqueName="[Facttable_ridership]" caption="Facttable_ridership"/>
    <dimension measure="1" name="Measures" uniqueName="[Measures]" caption="Measures"/>
  </dimensions>
  <measureGroups count="6">
    <measureGroup name="Calculation" caption="Calculation"/>
    <measureGroup name="Dim_buses" caption="Dim_buses"/>
    <measureGroup name="Dim_Date" caption="Dim_Date"/>
    <measureGroup name="Dim_demographics" caption="Dim_demographics"/>
    <measureGroup name="Dim_routes" caption="Dim_routes"/>
    <measureGroup name="Facttable_ridership" caption="Facttable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ubham pancholi" refreshedDate="45970.529159259262" backgroundQuery="1" createdVersion="3" refreshedVersion="8" minRefreshableVersion="3" recordCount="0" supportSubquery="1" supportAdvancedDrill="1" xr:uid="{C3CB9FE2-73A0-49D2-8E40-BF99F6F0A42E}">
  <cacheSource type="external" connectionId="7">
    <extLst>
      <ext xmlns:x14="http://schemas.microsoft.com/office/spreadsheetml/2009/9/main" uri="{F057638F-6D5F-4e77-A914-E7F072B9BCA8}">
        <x14:sourceConnection name="ThisWorkbookDataModel"/>
      </ext>
    </extLst>
  </cacheSource>
  <cacheFields count="0"/>
  <cacheHierarchies count="59">
    <cacheHierarchy uniqueName="[Calculation].[Column1]" caption="Column1" attribute="1" defaultMemberUniqueName="[Calculation].[Column1].[All]" allUniqueName="[Calculation].[Column1].[All]" dimensionUniqueName="[Calculation]" displayFolder="" count="0" memberValueDatatype="13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Date]" caption="Date" attribute="1" time="1" defaultMemberUniqueName="[Dim_Date].[Date].[All]" allUniqueName="[Dim_Date].[Date].[All]" dimensionUniqueName="[Dim_Date]" displayFolder="" count="0" memberValueDatatype="7" unbalanced="0"/>
    <cacheHierarchy uniqueName="[Dim_Date].[Year]" caption="Year" attribute="1" defaultMemberUniqueName="[Dim_Date].[Year].[All]" allUniqueName="[Dim_Date].[Year].[All]" dimensionUniqueName="[Dim_Date]" displayFolder="" count="2" memberValueDatatype="20" unbalanced="0"/>
    <cacheHierarchy uniqueName="[Dim_Date].[Month Name]" caption="Month Name" attribute="1" defaultMemberUniqueName="[Dim_Date].[Month Name].[All]" allUniqueName="[Dim_Date].[Month Name].[All]" dimensionUniqueName="[Dim_Date]" displayFolder="" count="0" memberValueDatatype="130" unbalanced="0"/>
    <cacheHierarchy uniqueName="[Dim_Date].[Month]" caption="Month" attribute="1" defaultMemberUniqueName="[Dim_Date].[Month].[All]" allUniqueName="[Dim_Date].[Month].[All]" dimensionUniqueName="[Dim_Date]" displayFolder="" count="0" memberValueDatatype="20" unbalanced="0"/>
    <cacheHierarchy uniqueName="[Dim_Date].[Day Name]" caption="Day Name" attribute="1" defaultMemberUniqueName="[Dim_Date].[Day Name].[All]" allUniqueName="[Dim_Date].[Day Name].[All]" dimensionUniqueName="[Dim_Date]" displayFolder="" count="0" memberValueDatatype="130" unbalanced="0"/>
    <cacheHierarchy uniqueName="[Dim_Date].[Day of Week]" caption="Day of Week" attribute="1" defaultMemberUniqueName="[Dim_Date].[Day of Week].[All]" allUniqueName="[Dim_Date].[Day of Week].[All]" dimensionUniqueName="[Dim_Date]" displayFolder="" count="0" memberValueDatatype="20" unbalanced="0"/>
    <cacheHierarchy uniqueName="[Dim_Date].[Quarter]" caption="Quarter" attribute="1" defaultMemberUniqueName="[Dim_Date].[Quarter].[All]" allUniqueName="[Dim_Date].[Quarter].[All]" dimensionUniqueName="[Dim_Date]" displayFolder="" count="0" memberValueDatatype="130" unbalanced="0"/>
    <cacheHierarchy uniqueName="[Dim_Date].[WeekType]" caption="WeekType" attribute="1" defaultMemberUniqueName="[Dim_Date].[WeekType].[All]" allUniqueName="[Dim_Date].[WeekType].[All]" dimensionUniqueName="[Dim_Dat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 Group]" caption="Age Group" attribute="1" defaultMemberUniqueName="[Dim_demographics].[Age Group].[All]" allUniqueName="[Dim_demographics].[Age 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time="1" defaultMemberUniqueName="[Dim_routes].[TakeOffTime].[All]" allUniqueName="[Dim_routes].[TakeOffTime].[All]" dimensionUniqueName="[Dim_routes]" displayFolder="" count="0" memberValueDatatype="7" unbalanced="0"/>
    <cacheHierarchy uniqueName="[Dim_routes].[ArrivalTime]" caption="ArrivalTime" attribute="1" time="1" defaultMemberUniqueName="[Dim_routes].[ArrivalTime].[All]" allUniqueName="[Dim_routes].[ArrivalTime].[All]" dimensionUniqueName="[Dim_routes]" displayFolder="" count="0" memberValueDatatype="7" unbalanced="0"/>
    <cacheHierarchy uniqueName="[Facttable_ridership].[RecordID]" caption="RecordID" attribute="1" defaultMemberUniqueName="[Facttable_ridership].[RecordID].[All]" allUniqueName="[Facttable_ridership].[RecordID].[All]" dimensionUniqueName="[Facttable_ridership]" displayFolder="" count="0" memberValueDatatype="20" unbalanced="0"/>
    <cacheHierarchy uniqueName="[Facttable_ridership].[BusID]" caption="BusID" attribute="1" defaultMemberUniqueName="[Facttable_ridership].[BusID].[All]" allUniqueName="[Facttable_ridership].[BusID].[All]" dimensionUniqueName="[Facttable_ridership]" displayFolder="" count="0" memberValueDatatype="20" unbalanced="0"/>
    <cacheHierarchy uniqueName="[Facttable_ridership].[Date]" caption="Date" attribute="1" time="1" defaultMemberUniqueName="[Facttable_ridership].[Date].[All]" allUniqueName="[Facttable_ridership].[Date].[All]" dimensionUniqueName="[Facttable_ridership]" displayFolder="" count="0" memberValueDatatype="7" unbalanced="0"/>
    <cacheHierarchy uniqueName="[Facttable_ridership].[Time]" caption="Time" attribute="1" time="1" defaultMemberUniqueName="[Facttable_ridership].[Time].[All]" allUniqueName="[Facttable_ridership].[Time].[All]" dimensionUniqueName="[Facttable_ridership]" displayFolder="" count="0" memberValueDatatype="7" unbalanced="0"/>
    <cacheHierarchy uniqueName="[Facttable_ridership].[NumberOfRiders]" caption="NumberOfRiders" attribute="1" defaultMemberUniqueName="[Facttable_ridership].[NumberOfRiders].[All]" allUniqueName="[Facttable_ridership].[NumberOfRiders].[All]" dimensionUniqueName="[Facttable_ridership]" displayFolder="" count="0" memberValueDatatype="20" unbalanced="0"/>
    <cacheHierarchy uniqueName="[Facttable_ridership].[RiderID]" caption="RiderID" attribute="1" defaultMemberUniqueName="[Facttable_ridership].[RiderID].[All]" allUniqueName="[Facttable_ridership].[RiderID].[All]" dimensionUniqueName="[Facttable_ridership]" displayFolder="" count="0" memberValueDatatype="20" unbalanced="0"/>
    <cacheHierarchy uniqueName="[Facttable_ridership].[Operation moment]" caption="Operation moment" attribute="1" defaultMemberUniqueName="[Facttable_ridership].[Operation moment].[All]" allUniqueName="[Facttable_ridership].[Operation moment].[All]" dimensionUniqueName="[Facttable_ridership]" displayFolder="" count="0" memberValueDatatype="130" unbalanced="0"/>
    <cacheHierarchy uniqueName="[Facttable_ridership].[Time Group]" caption="Time Group" attribute="1" defaultMemberUniqueName="[Facttable_ridership].[Time Group].[All]" allUniqueName="[Facttable_ridership].[Time Group].[All]" dimensionUniqueName="[Facttable_ridership]" displayFolder="" count="0" memberValueDatatype="130" unbalanced="0"/>
    <cacheHierarchy uniqueName="[Facttable_ridership].[Capacity]" caption="Capacity" attribute="1" defaultMemberUniqueName="[Facttable_ridership].[Capacity].[All]" allUniqueName="[Facttable_ridership].[Capacity].[All]" dimensionUniqueName="[Facttable_ridership]" displayFolder="" count="0" memberValueDatatype="20" unbalanced="0"/>
    <cacheHierarchy uniqueName="[Facttable_ridership].[Utilization %age]" caption="Utilization %age" attribute="1" defaultMemberUniqueName="[Facttable_ridership].[Utilization %age].[All]" allUniqueName="[Facttable_ridership].[Utilization %age].[All]" dimensionUniqueName="[Facttable_ridership]" displayFolder="" count="0" memberValueDatatype="5" unbalanced="0"/>
    <cacheHierarchy uniqueName="[Facttable_ridership].[Utilization Type]" caption="Utilization Type" attribute="1" defaultMemberUniqueName="[Facttable_ridership].[Utilization Type].[All]" allUniqueName="[Facttable_ridership].[Utilization Type].[All]" dimensionUniqueName="[Facttable_ridership]" displayFolder="" count="0" memberValueDatatype="130" unbalanced="0"/>
    <cacheHierarchy uniqueName="[Facttable_ridership].[Time (Hour)]" caption="Time (Hour)" attribute="1" defaultMemberUniqueName="[Facttable_ridership].[Time (Hour)].[All]" allUniqueName="[Facttable_ridership].[Time (Hour)].[All]" dimensionUniqueName="[Facttable_ridership]" displayFolder="" count="0" memberValueDatatype="130" unbalanced="0"/>
    <cacheHierarchy uniqueName="[Facttable_ridership].[Time (Minute)]" caption="Time (Minute)" attribute="1" defaultMemberUniqueName="[Facttable_ridership].[Time (Minute)].[All]" allUniqueName="[Facttable_ridership].[Time (Minute)].[All]" dimensionUniqueName="[Facttable_ridership]" displayFolder="" count="0" memberValueDatatype="130" unbalanced="0"/>
    <cacheHierarchy uniqueName="[Measures].[Sum of Age]" caption="Sum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Age]" caption="Count of Age" measure="1" displayFolder="" measureGroup="Dim_demographics" count="0">
      <extLst>
        <ext xmlns:x15="http://schemas.microsoft.com/office/spreadsheetml/2010/11/main" uri="{B97F6D7D-B522-45F9-BDA1-12C45D357490}">
          <x15:cacheHierarchy aggregatedColumn="14"/>
        </ext>
      </extLst>
    </cacheHierarchy>
    <cacheHierarchy uniqueName="[Measures].[Count of BusID]" caption="Count of BusID" measure="1" displayFolder="" measureGroup="Dim_buses" count="0">
      <extLst>
        <ext xmlns:x15="http://schemas.microsoft.com/office/spreadsheetml/2010/11/main" uri="{B97F6D7D-B522-45F9-BDA1-12C45D357490}">
          <x15:cacheHierarchy aggregatedColumn="1"/>
        </ext>
      </extLst>
    </cacheHierarchy>
    <cacheHierarchy uniqueName="[Measures].[Count of BusID 2]" caption="Count of BusID 2" measure="1" displayFolder="" measureGroup="Facttable_ridership" count="0">
      <extLst>
        <ext xmlns:x15="http://schemas.microsoft.com/office/spreadsheetml/2010/11/main" uri="{B97F6D7D-B522-45F9-BDA1-12C45D357490}">
          <x15:cacheHierarchy aggregatedColumn="26"/>
        </ext>
      </extLst>
    </cacheHierarchy>
    <cacheHierarchy uniqueName="[Measures].[Sum of NumberOfRiders]" caption="Sum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Average of NumberOfRiders]" caption="Average of NumberOfRiders" measure="1" displayFolder="" measureGroup="Facttable_ridership" count="0">
      <extLst>
        <ext xmlns:x15="http://schemas.microsoft.com/office/spreadsheetml/2010/11/main" uri="{B97F6D7D-B522-45F9-BDA1-12C45D357490}">
          <x15:cacheHierarchy aggregatedColumn="29"/>
        </ext>
      </extLst>
    </cacheHierarchy>
    <cacheHierarchy uniqueName="[Measures].[Sum of Year]" caption="Sum of Year" measure="1" displayFolder="" measureGroup="Dim_Date" count="0">
      <extLst>
        <ext xmlns:x15="http://schemas.microsoft.com/office/spreadsheetml/2010/11/main" uri="{B97F6D7D-B522-45F9-BDA1-12C45D357490}">
          <x15:cacheHierarchy aggregatedColumn="6"/>
        </ext>
      </extLst>
    </cacheHierarchy>
    <cacheHierarchy uniqueName="[Measures].[Sum of Month]" caption="Sum of Month" measure="1" displayFolder="" measureGroup="Dim_Date" count="0">
      <extLst>
        <ext xmlns:x15="http://schemas.microsoft.com/office/spreadsheetml/2010/11/main" uri="{B97F6D7D-B522-45F9-BDA1-12C45D357490}">
          <x15:cacheHierarchy aggregatedColumn="8"/>
        </ext>
      </extLst>
    </cacheHierarchy>
    <cacheHierarchy uniqueName="[Measures].[Sum of Utilization %age]" caption="Sum of Utilization %age" measure="1" displayFolder="" measureGroup="Facttable_ridership" count="0">
      <extLst>
        <ext xmlns:x15="http://schemas.microsoft.com/office/spreadsheetml/2010/11/main" uri="{B97F6D7D-B522-45F9-BDA1-12C45D357490}">
          <x15:cacheHierarchy aggregatedColumn="34"/>
        </ext>
      </extLst>
    </cacheHierarchy>
    <cacheHierarchy uniqueName="[Measures].[Total Transaction]" caption="Total Transaction" measure="1" displayFolder="" measureGroup="Calculation" count="0"/>
    <cacheHierarchy uniqueName="[Measures].[Average Age]" caption="Average Age" measure="1" displayFolder="" measureGroup="Calculation" count="0"/>
    <cacheHierarchy uniqueName="[Measures].[Total Buses]" caption="Total Buses" measure="1" displayFolder="" measureGroup="Calculation" count="0"/>
    <cacheHierarchy uniqueName="[Measures].[Revenue]" caption="Revenue" measure="1" displayFolder="" measureGroup="Calculation" count="0"/>
    <cacheHierarchy uniqueName="[Measures].[Total Trip]" caption="Total Trip" measure="1" displayFolder="" measureGroup="Calculation" count="0"/>
    <cacheHierarchy uniqueName="[Measures].[__XL_Count Facttable_ridership]" caption="__XL_Count Facttable_ridership" measure="1" displayFolder="" measureGroup="Facttable_ridership" count="0" hidden="1"/>
    <cacheHierarchy uniqueName="[Measures].[__XL_Count Dim_routes]" caption="__XL_Count Dim_routes" measure="1" displayFolder="" measureGroup="Dim_routes" count="0" hidden="1"/>
    <cacheHierarchy uniqueName="[Measures].[__XL_Count Dim_demographics]" caption="__XL_Count Dim_demographics" measure="1" displayFolder="" measureGroup="Dim_demographics" count="0" hidden="1"/>
    <cacheHierarchy uniqueName="[Measures].[__XL_Count Dim_buses]" caption="__XL_Count Dim_buses" measure="1" displayFolder="" measureGroup="Dim_buses" count="0" hidden="1"/>
    <cacheHierarchy uniqueName="[Measures].[__XL_Count Dim_Date]" caption="__XL_Count Dim_Date" measure="1" displayFolder="" measureGroup="Dim_Date" count="0" hidden="1"/>
    <cacheHierarchy uniqueName="[Measures].[__XL_Count Calculation]" caption="__XL_Count Calculation" measure="1" displayFolder="" measureGroup="Calculation"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02273999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8C3AE1-8489-4DEB-8D1E-982239442976}" name="PivotTable2" cacheId="11646" applyNumberFormats="0" applyBorderFormats="0" applyFontFormats="0" applyPatternFormats="0" applyAlignmentFormats="0" applyWidthHeightFormats="1" dataCaption="Values" tag="02c53091-3020-4f81-9827-2b8c7d85888d" updatedVersion="8" minRefreshableVersion="3" subtotalHiddenItems="1" rowGrandTotals="0" itemPrintTitles="1" createdVersion="8" indent="0" compact="0" compactData="0" multipleFieldFilters="0">
  <location ref="B11:C12" firstHeaderRow="1" firstDataRow="1" firstDataCol="1"/>
  <pivotFields count="3">
    <pivotField dataField="1" compact="0" outline="0" subtotalTop="0" showAll="0" defaultSubtotal="0"/>
    <pivotField axis="axisRow" compact="0" allDrilled="1" outline="0" subtotalTop="0" showAll="0" measureFilter="1" defaultSubtotal="0" defaultAttributeDrillState="1">
      <items count="1">
        <item x="0"/>
      </items>
    </pivotField>
    <pivotField compact="0" allDrilled="1" outline="0" subtotalTop="0" showAll="0" dataSourceSort="1" defaultSubtotal="0" defaultAttributeDrillState="1"/>
  </pivotFields>
  <rowFields count="1">
    <field x="1"/>
  </rowFields>
  <rowItems count="1">
    <i>
      <x/>
    </i>
  </rowItems>
  <colItems count="1">
    <i/>
  </colItems>
  <dataFields count="1">
    <dataField name="Total Riders (Passangers)" fld="0" baseField="0" baseItem="0"/>
  </dataField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42">
      <autoFilter ref="A1">
        <filterColumn colId="0">
          <top10 val="1" filterVal="1"/>
        </filterColumn>
      </autoFilter>
    </filter>
  </filters>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activeTabTopLevelEntity name="[Dim_rou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3A4A38-8841-4AD1-8344-2B268DEF2676}" name="PivotTable11" cacheId="11651" applyNumberFormats="0" applyBorderFormats="0" applyFontFormats="0" applyPatternFormats="0" applyAlignmentFormats="0" applyWidthHeightFormats="1" dataCaption="Values" tag="7cf357f0-0ea9-4404-bba9-0b8dc935c925" updatedVersion="8" minRefreshableVersion="3" subtotalHiddenItems="1" rowGrandTotals="0" itemPrintTitles="1" createdVersion="8" indent="0" compact="0" compactData="0" multipleFieldFilters="0" chartFormat="17">
  <location ref="AH6:AH7" firstHeaderRow="1" firstDataRow="1" firstDataCol="0"/>
  <pivotFields count="3">
    <pivotField compact="0" allDrilled="1" outline="0" subtotalTop="0" showAll="0" measureFilter="1" dataSourceSort="1" defaultSubtotal="0" defaultAttributeDrillState="1">
      <items count="1">
        <item x="0"/>
      </items>
    </pivotField>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fld="1" subtotal="count" baseField="0" baseItem="0"/>
  </dataFields>
  <formats count="1">
    <format dxfId="44">
      <pivotArea outline="0" collapsedLevelsAreSubtotals="1" fieldPosition="0"/>
    </format>
  </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42">
      <autoFilter ref="A1">
        <filterColumn colId="0">
          <top10 top="0" val="1" filterVal="1"/>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activeTabTopLevelEntity name="[Dim_rout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00C8128-D77D-4390-9746-8C1DB27D4DD8}" name="PivotTable20" cacheId="11657" applyNumberFormats="0" applyBorderFormats="0" applyFontFormats="0" applyPatternFormats="0" applyAlignmentFormats="0" applyWidthHeightFormats="1" dataCaption="Values" tag="ac83e553-6405-49eb-a111-3a7c382ad7ab" updatedVersion="8" minRefreshableVersion="3" subtotalHiddenItems="1" rowGrandTotals="0" itemPrintTitles="1" createdVersion="8" indent="0" compact="0" compactData="0" multipleFieldFilters="0" chartFormat="27">
  <location ref="BK8:BL14" firstHeaderRow="1" firstDataRow="1" firstDataCol="1"/>
  <pivotFields count="5">
    <pivotField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measureFilter="1" dataSourceSort="1" defaultSubtotal="0" defaultAttributeDrillState="1">
      <items count="1">
        <item x="0"/>
      </items>
    </pivotField>
    <pivotField dataField="1" compact="0" outline="0" subtotalTop="0" showAll="0" defaultSubtotal="0"/>
    <pivotField compact="0" allDrilled="1" outline="0" subtotalTop="0" showAll="0" sortType="ascending" defaultSubtotal="0" defaultAttributeDrillState="1">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6">
        <item x="0"/>
        <item x="1"/>
        <item x="2"/>
        <item x="3"/>
        <item x="4"/>
        <item x="5"/>
      </items>
    </pivotField>
  </pivotFields>
  <rowFields count="1">
    <field x="4"/>
  </rowFields>
  <rowItems count="6">
    <i>
      <x/>
    </i>
    <i>
      <x v="1"/>
    </i>
    <i>
      <x v="2"/>
    </i>
    <i>
      <x v="3"/>
    </i>
    <i>
      <x v="4"/>
    </i>
    <i>
      <x v="5"/>
    </i>
  </rowItems>
  <colItems count="1">
    <i/>
  </colItems>
  <dataFields count="1">
    <dataField name="Sum of NumberOfRiders" fld="2" baseField="0" baseItem="0"/>
  </dataFields>
  <formats count="5">
    <format dxfId="39">
      <pivotArea outline="0" collapsedLevelsAreSubtotals="1" fieldPosition="0"/>
    </format>
    <format dxfId="40">
      <pivotArea type="all" dataOnly="0" outline="0" fieldPosition="0"/>
    </format>
    <format dxfId="41">
      <pivotArea outline="0" collapsedLevelsAreSubtotals="1" fieldPosition="0"/>
    </format>
    <format dxfId="42">
      <pivotArea field="0" type="button" dataOnly="0" labelOnly="1" outline="0"/>
    </format>
    <format dxfId="43">
      <pivotArea dataOnly="0" labelOnly="1" outline="0" axis="axisValues" fieldPosition="0"/>
    </format>
  </formats>
  <chartFormats count="3">
    <chartFormat chart="21" format="0" series="1">
      <pivotArea type="data" outline="0" fieldPosition="0">
        <references count="1">
          <reference field="4294967294" count="1" selected="0">
            <x v="0"/>
          </reference>
        </references>
      </pivotArea>
    </chartFormat>
    <chartFormat chart="22" format="4" series="1">
      <pivotArea type="data" outline="0" fieldPosition="0">
        <references count="1">
          <reference field="4294967294" count="1" selected="0">
            <x v="0"/>
          </reference>
        </references>
      </pivotArea>
    </chartFormat>
    <chartFormat chart="23" format="8"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3" iMeasureHier="42">
      <autoFilter ref="A1">
        <filterColumn colId="0">
          <top10 top="0" val="1" filterVal="1"/>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activeTabTopLevelEntity name="[Dim_rout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C731865-3BAE-4326-B7FF-05954B2E1CC5}" name="PivotTable25" cacheId="11648" applyNumberFormats="0" applyBorderFormats="0" applyFontFormats="0" applyPatternFormats="0" applyAlignmentFormats="0" applyWidthHeightFormats="1" dataCaption="Values" tag="698e5282-cd96-4aa4-a946-0bc904e414c5" updatedVersion="8" minRefreshableVersion="3" subtotalHiddenItems="1" rowGrandTotals="0" itemPrintTitles="1" createdVersion="8" indent="0" compact="0" compactData="0" multipleFieldFilters="0" chartFormat="30">
  <location ref="BR8:BS14" firstHeaderRow="1" firstDataRow="1" firstDataCol="1"/>
  <pivotFields count="5">
    <pivotField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measureFilter="1" dataSourceSort="1" defaultSubtotal="0" defaultAttributeDrillState="1">
      <items count="1">
        <item x="0"/>
      </items>
    </pivotField>
    <pivotField dataField="1" compact="0" outline="0" subtotalTop="0" showAll="0" defaultSubtotal="0"/>
    <pivotField compact="0" allDrilled="1" outline="0" subtotalTop="0" showAll="0" sortType="ascending" defaultSubtotal="0" defaultAttributeDrillState="1">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s>
      <autoSortScope>
        <pivotArea dataOnly="0" outline="0" fieldPosition="0">
          <references count="1">
            <reference field="4294967294" count="1" selected="0">
              <x v="0"/>
            </reference>
          </references>
        </pivotArea>
      </autoSortScope>
    </pivotField>
    <pivotField axis="axisRow" compact="0" allDrilled="1" outline="0" subtotalTop="0" showAll="0" defaultSubtotal="0" defaultAttributeDrillState="1">
      <items count="6">
        <item x="1"/>
        <item x="0"/>
        <item x="2"/>
        <item x="3"/>
        <item x="5"/>
        <item x="4"/>
      </items>
    </pivotField>
  </pivotFields>
  <rowFields count="1">
    <field x="4"/>
  </rowFields>
  <rowItems count="6">
    <i>
      <x/>
    </i>
    <i>
      <x v="1"/>
    </i>
    <i>
      <x v="2"/>
    </i>
    <i>
      <x v="3"/>
    </i>
    <i>
      <x v="4"/>
    </i>
    <i>
      <x v="5"/>
    </i>
  </rowItems>
  <colItems count="1">
    <i/>
  </colItems>
  <dataFields count="1">
    <dataField name="Sum of NumberOfRiders" fld="2" baseField="0" baseItem="0"/>
  </dataFields>
  <formats count="10">
    <format dxfId="29">
      <pivotArea outline="0" collapsedLevelsAreSubtotals="1" fieldPosition="0"/>
    </format>
    <format dxfId="30">
      <pivotArea type="all" dataOnly="0" outline="0" fieldPosition="0"/>
    </format>
    <format dxfId="31">
      <pivotArea outline="0" collapsedLevelsAreSubtotals="1" fieldPosition="0"/>
    </format>
    <format dxfId="32">
      <pivotArea field="0" type="button" dataOnly="0" labelOnly="1" outline="0"/>
    </format>
    <format dxfId="33">
      <pivotArea dataOnly="0" labelOnly="1" outline="0" axis="axisValues" fieldPosition="0"/>
    </format>
    <format dxfId="34">
      <pivotArea type="all" dataOnly="0" outline="0" fieldPosition="0"/>
    </format>
    <format dxfId="35">
      <pivotArea outline="0" collapsedLevelsAreSubtotals="1" fieldPosition="0"/>
    </format>
    <format dxfId="36">
      <pivotArea field="4" type="button" dataOnly="0" labelOnly="1" outline="0" axis="axisRow" fieldPosition="0"/>
    </format>
    <format dxfId="37">
      <pivotArea dataOnly="0" labelOnly="1" outline="0" fieldPosition="0">
        <references count="1">
          <reference field="4" count="0"/>
        </references>
      </pivotArea>
    </format>
    <format dxfId="38">
      <pivotArea dataOnly="0" labelOnly="1" outline="0" axis="axisValues" fieldPosition="0"/>
    </format>
  </formats>
  <chartFormats count="4">
    <chartFormat chart="21" format="0" series="1">
      <pivotArea type="data" outline="0" fieldPosition="0">
        <references count="1">
          <reference field="4294967294" count="1" selected="0">
            <x v="0"/>
          </reference>
        </references>
      </pivotArea>
    </chartFormat>
    <chartFormat chart="22" format="4" series="1">
      <pivotArea type="data" outline="0" fieldPosition="0">
        <references count="1">
          <reference field="4294967294" count="1" selected="0">
            <x v="0"/>
          </reference>
        </references>
      </pivotArea>
    </chartFormat>
    <chartFormat chart="23" format="8" series="1">
      <pivotArea type="data" outline="0" fieldPosition="0">
        <references count="1">
          <reference field="4294967294" count="1" selected="0">
            <x v="0"/>
          </reference>
        </references>
      </pivotArea>
    </chartFormat>
    <chartFormat chart="29"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3" iMeasureHier="42">
      <autoFilter ref="A1">
        <filterColumn colId="0">
          <top10 top="0" val="1" filterVal="1"/>
        </filterColumn>
      </autoFilter>
    </filter>
  </filter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activeTabTopLevelEntity name="[Dim_rout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DC7165C-B5E8-4A55-A53E-4238423E033B}" name="PivotTable5" cacheId="11660" applyNumberFormats="0" applyBorderFormats="0" applyFontFormats="0" applyPatternFormats="0" applyAlignmentFormats="0" applyWidthHeightFormats="1" dataCaption="Values" tag="a21f64e3-78b2-4ff0-b0af-49103d228065" updatedVersion="8" minRefreshableVersion="3" subtotalHiddenItems="1" rowGrandTotals="0" itemPrintTitles="1" createdVersion="8" indent="0" compact="0" compactData="0" multipleFieldFilters="0" chartFormat="6">
  <location ref="G6:H9"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3">
    <i>
      <x v="2"/>
    </i>
    <i>
      <x/>
    </i>
    <i>
      <x v="1"/>
    </i>
  </rowItems>
  <colItems count="1">
    <i/>
  </colItems>
  <dataFields count="1">
    <dataField name="Total Riders (Passangers)" fld="0" baseField="0" baseItem="0"/>
  </dataFields>
  <chartFormats count="1">
    <chartFormat chart="2"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activeTabTopLevelEntity name="[Dim_rou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946C3DF-197D-44F0-BDC2-9CA86EEE0AF6}" name="PivotTable16" cacheId="11655" applyNumberFormats="0" applyBorderFormats="0" applyFontFormats="0" applyPatternFormats="0" applyAlignmentFormats="0" applyWidthHeightFormats="1" dataCaption="Values" tag="17a98308-8236-4654-bd54-548ac7b55973" updatedVersion="8" minRefreshableVersion="3" subtotalHiddenItems="1" rowGrandTotals="0" itemPrintTitles="1" createdVersion="8" indent="0" compact="0" compactData="0" multipleFieldFilters="0" chartFormat="24">
  <location ref="AU6:AV9" firstHeaderRow="1" firstDataRow="1" firstDataCol="1"/>
  <pivotFields count="4">
    <pivotField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measureFilter="1" dataSourceSort="1" defaultSubtotal="0" defaultAttributeDrillState="1">
      <items count="1">
        <item x="0"/>
      </items>
    </pivotField>
    <pivotField dataField="1" compact="0" outline="0" subtotalTop="0" showAll="0" defaultSubtotal="0"/>
    <pivotField axis="axisRow" compact="0" allDrilled="1" outline="0" subtotalTop="0" showAll="0" defaultSubtotal="0" defaultAttributeDrillState="1">
      <items count="3">
        <item x="0"/>
        <item x="1"/>
        <item x="2"/>
      </items>
    </pivotField>
  </pivotFields>
  <rowFields count="1">
    <field x="3"/>
  </rowFields>
  <rowItems count="3">
    <i>
      <x/>
    </i>
    <i>
      <x v="1"/>
    </i>
    <i>
      <x v="2"/>
    </i>
  </rowItems>
  <colItems count="1">
    <i/>
  </colItems>
  <dataFields count="1">
    <dataField name="Sum of NumberOfRiders" fld="2" baseField="0" baseItem="0"/>
  </dataFields>
  <formats count="5">
    <format dxfId="24">
      <pivotArea outline="0" collapsedLevelsAreSubtotals="1" fieldPosition="0"/>
    </format>
    <format dxfId="25">
      <pivotArea type="all" dataOnly="0" outline="0" fieldPosition="0"/>
    </format>
    <format dxfId="26">
      <pivotArea outline="0" collapsedLevelsAreSubtotals="1" fieldPosition="0"/>
    </format>
    <format dxfId="27">
      <pivotArea field="0" type="button" dataOnly="0" labelOnly="1" outline="0"/>
    </format>
    <format dxfId="28">
      <pivotArea dataOnly="0" labelOnly="1" outline="0" axis="axisValues" fieldPosition="0"/>
    </format>
  </formats>
  <chartFormats count="12">
    <chartFormat chart="21" format="0" series="1">
      <pivotArea type="data" outline="0" fieldPosition="0">
        <references count="1">
          <reference field="4294967294" count="1" selected="0">
            <x v="0"/>
          </reference>
        </references>
      </pivotArea>
    </chartFormat>
    <chartFormat chart="21" format="1">
      <pivotArea type="data" outline="0" fieldPosition="0">
        <references count="2">
          <reference field="4294967294" count="1" selected="0">
            <x v="0"/>
          </reference>
          <reference field="3" count="1" selected="0">
            <x v="1"/>
          </reference>
        </references>
      </pivotArea>
    </chartFormat>
    <chartFormat chart="21" format="2">
      <pivotArea type="data" outline="0" fieldPosition="0">
        <references count="2">
          <reference field="4294967294" count="1" selected="0">
            <x v="0"/>
          </reference>
          <reference field="3" count="1" selected="0">
            <x v="0"/>
          </reference>
        </references>
      </pivotArea>
    </chartFormat>
    <chartFormat chart="21" format="3">
      <pivotArea type="data" outline="0" fieldPosition="0">
        <references count="2">
          <reference field="4294967294" count="1" selected="0">
            <x v="0"/>
          </reference>
          <reference field="3" count="1" selected="0">
            <x v="2"/>
          </reference>
        </references>
      </pivotArea>
    </chartFormat>
    <chartFormat chart="22" format="4" series="1">
      <pivotArea type="data" outline="0" fieldPosition="0">
        <references count="1">
          <reference field="4294967294" count="1" selected="0">
            <x v="0"/>
          </reference>
        </references>
      </pivotArea>
    </chartFormat>
    <chartFormat chart="22" format="5">
      <pivotArea type="data" outline="0" fieldPosition="0">
        <references count="2">
          <reference field="4294967294" count="1" selected="0">
            <x v="0"/>
          </reference>
          <reference field="3" count="1" selected="0">
            <x v="0"/>
          </reference>
        </references>
      </pivotArea>
    </chartFormat>
    <chartFormat chart="22" format="6">
      <pivotArea type="data" outline="0" fieldPosition="0">
        <references count="2">
          <reference field="4294967294" count="1" selected="0">
            <x v="0"/>
          </reference>
          <reference field="3" count="1" selected="0">
            <x v="1"/>
          </reference>
        </references>
      </pivotArea>
    </chartFormat>
    <chartFormat chart="22" format="7">
      <pivotArea type="data" outline="0" fieldPosition="0">
        <references count="2">
          <reference field="4294967294" count="1" selected="0">
            <x v="0"/>
          </reference>
          <reference field="3" count="1" selected="0">
            <x v="2"/>
          </reference>
        </references>
      </pivotArea>
    </chartFormat>
    <chartFormat chart="23" format="8" series="1">
      <pivotArea type="data" outline="0" fieldPosition="0">
        <references count="1">
          <reference field="4294967294" count="1" selected="0">
            <x v="0"/>
          </reference>
        </references>
      </pivotArea>
    </chartFormat>
    <chartFormat chart="23" format="9">
      <pivotArea type="data" outline="0" fieldPosition="0">
        <references count="2">
          <reference field="4294967294" count="1" selected="0">
            <x v="0"/>
          </reference>
          <reference field="3" count="1" selected="0">
            <x v="0"/>
          </reference>
        </references>
      </pivotArea>
    </chartFormat>
    <chartFormat chart="23" format="10">
      <pivotArea type="data" outline="0" fieldPosition="0">
        <references count="2">
          <reference field="4294967294" count="1" selected="0">
            <x v="0"/>
          </reference>
          <reference field="3" count="1" selected="0">
            <x v="1"/>
          </reference>
        </references>
      </pivotArea>
    </chartFormat>
    <chartFormat chart="23" format="11">
      <pivotArea type="data" outline="0" fieldPosition="0">
        <references count="2">
          <reference field="4294967294" count="1" selected="0">
            <x v="0"/>
          </reference>
          <reference field="3" count="1" selected="0">
            <x v="2"/>
          </reference>
        </references>
      </pivotArea>
    </chartFormat>
  </chart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3" iMeasureHier="42">
      <autoFilter ref="A1">
        <filterColumn colId="0">
          <top10 top="0" val="1" filterVal="1"/>
        </filterColumn>
      </autoFilter>
    </filter>
  </filters>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activeTabTopLevelEntity name="[Dim_rout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FEFBEF6-FA12-48C6-A29C-4E71037B7A45}" name="PivotTable3" cacheId="11659" applyNumberFormats="0" applyBorderFormats="0" applyFontFormats="0" applyPatternFormats="0" applyAlignmentFormats="0" applyWidthHeightFormats="1" dataCaption="Values" tag="33e87d92-46ba-403f-9da7-603d7c00df65" updatedVersion="8" minRefreshableVersion="3" subtotalHiddenItems="1" rowGrandTotals="0" itemPrintTitles="1" createdVersion="8" indent="0" compact="0" compactData="0" multipleFieldFilters="0" chartFormat="15">
  <location ref="L16:M23" firstHeaderRow="1" firstDataRow="1" firstDataCol="1"/>
  <pivotFields count="5">
    <pivotField dataField="1" compact="0" outline="0" subtotalTop="0" showAll="0" defaultSubtotal="0"/>
    <pivotField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compact="0" allDrilled="1" outline="0" subtotalTop="0" showAll="0" measureFilter="1" dataSourceSort="1" defaultSubtotal="0" defaultAttributeDrillState="1">
      <items count="1">
        <item x="0"/>
      </items>
    </pivotField>
    <pivotField axis="axisRow" compact="0" allDrilled="1" outline="0" subtotalTop="0" showAll="0" defaultSubtotal="0" defaultAttributeDrillState="1">
      <items count="7">
        <item x="6"/>
        <item x="0"/>
        <item x="1"/>
        <item x="2"/>
        <item x="3"/>
        <item x="4"/>
        <item x="5"/>
      </items>
    </pivotField>
    <pivotField compact="0" allDrilled="1" outline="0" subtotalTop="0" showAll="0" dataSourceSort="1" defaultSubtotal="0" defaultAttributeDrillState="1"/>
  </pivotFields>
  <rowFields count="1">
    <field x="3"/>
  </rowFields>
  <rowItems count="7">
    <i>
      <x/>
    </i>
    <i>
      <x v="1"/>
    </i>
    <i>
      <x v="2"/>
    </i>
    <i>
      <x v="3"/>
    </i>
    <i>
      <x v="4"/>
    </i>
    <i>
      <x v="5"/>
    </i>
    <i>
      <x v="6"/>
    </i>
  </rowItems>
  <colItems count="1">
    <i/>
  </colItems>
  <dataFields count="1">
    <dataField name="Total Riders (Passangers)" fld="0" baseField="0" baseItem="0"/>
  </dataFields>
  <chartFormats count="5">
    <chartFormat chart="2" format="2"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3" iMeasureHier="42">
      <autoFilter ref="A1">
        <filterColumn colId="0">
          <top10 top="0" val="1" filterVal="1"/>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activeTabTopLevelEntity name="[Dim_rout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DE59407-B17C-42CF-B39B-4C06E8345303}" name="PivotTable8" cacheId="11663" applyNumberFormats="0" applyBorderFormats="0" applyFontFormats="0" applyPatternFormats="0" applyAlignmentFormats="0" applyWidthHeightFormats="1" dataCaption="Values" tag="1062bd86-3339-4cda-97bc-125cfa2a73e8" updatedVersion="8" minRefreshableVersion="3" subtotalHiddenItems="1" rowGrandTotals="0" itemPrintTitles="1" createdVersion="8" indent="0" compact="0" compactData="0" multipleFieldFilters="0" chartFormat="14">
  <location ref="L6:N8" firstHeaderRow="0" firstDataRow="1" firstDataCol="1"/>
  <pivotFields count="6">
    <pivotField dataField="1" compact="0" outline="0" subtotalTop="0" showAll="0" defaultSubtotal="0"/>
    <pivotField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compact="0" allDrilled="1" outline="0" subtotalTop="0" showAll="0" measureFilter="1" dataSourceSort="1" defaultSubtotal="0" defaultAttributeDrillState="1">
      <items count="1">
        <item x="0"/>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2">
    <i>
      <x/>
    </i>
    <i>
      <x v="1"/>
    </i>
  </rowItems>
  <colFields count="1">
    <field x="-2"/>
  </colFields>
  <colItems count="2">
    <i>
      <x/>
    </i>
    <i i="1">
      <x v="1"/>
    </i>
  </colItems>
  <dataFields count="2">
    <dataField name="Total Riders (Passangers)" fld="0" baseField="0" baseItem="0"/>
    <dataField name="Sum of NumberOfRiders" fld="5" showDataAs="percentDiff" baseField="3" baseItem="0" numFmtId="10">
      <extLst>
        <ext xmlns:x14="http://schemas.microsoft.com/office/spreadsheetml/2009/9/main" uri="{E15A36E0-9728-4e99-A89B-3F7291B0FE68}">
          <x14:dataField sourceField="0" uniqueName="[__Xl2].[Measures].[Sum of NumberOfRiders]"/>
        </ext>
      </extLst>
    </dataField>
  </dataFields>
  <chartFormats count="4">
    <chartFormat chart="2" format="2"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3" count="1" selected="0">
            <x v="1"/>
          </reference>
        </references>
      </pivotArea>
    </chartFormat>
    <chartFormat chart="11" format="8" series="1">
      <pivotArea type="data" outline="0" fieldPosition="0">
        <references count="1">
          <reference field="4294967294" count="1" selected="0">
            <x v="1"/>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2" type="count" id="3" iMeasureHier="42">
      <autoFilter ref="A1">
        <filterColumn colId="0">
          <top10 top="0" val="1" filterVal="1"/>
        </filterColumn>
      </autoFilter>
    </filter>
  </filters>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activeTabTopLevelEntity name="[Dim_rout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6856307-BBAD-49AA-B11C-7F6EE33ABB57}" name="PivotTable15" cacheId="11654" applyNumberFormats="0" applyBorderFormats="0" applyFontFormats="0" applyPatternFormats="0" applyAlignmentFormats="0" applyWidthHeightFormats="1" dataCaption="Values" tag="49d9fb29-b59c-4c5e-a2e2-087ed6dbd4ea" updatedVersion="8" minRefreshableVersion="3" subtotalHiddenItems="1" rowGrandTotals="0" itemPrintTitles="1" createdVersion="8" indent="0" compact="0" compactData="0" multipleFieldFilters="0" chartFormat="17">
  <location ref="AB6:AD8" firstHeaderRow="0" firstDataRow="1" firstDataCol="1"/>
  <pivotFields count="5">
    <pivotField compact="0" allDrilled="1" outline="0" subtotalTop="0" showAll="0" measureFilter="1" dataSourceSort="1" defaultSubtotal="0" defaultAttributeDrillState="1">
      <items count="1">
        <item x="0"/>
      </items>
    </pivotField>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name="Sum of NumberOfRiders" fld="2" baseField="0" baseItem="0"/>
    <dataField name="Sum of NumberOfRiders2" fld="4" showDataAs="percentOfTotal" baseField="0" baseItem="0" numFmtId="9">
      <extLst>
        <ext xmlns:x14="http://schemas.microsoft.com/office/spreadsheetml/2009/9/main" uri="{E15A36E0-9728-4e99-A89B-3F7291B0FE68}">
          <x14:dataField sourceField="2" uniqueName="[__Xl2].[Measures].[Sum of NumberOfRiders]"/>
        </ext>
      </extLst>
    </dataField>
  </dataFields>
  <formats count="1">
    <format dxfId="23">
      <pivotArea outline="0" fieldPosition="0">
        <references count="1">
          <reference field="4294967294" count="1" selected="0">
            <x v="1"/>
          </reference>
        </references>
      </pivotArea>
    </format>
  </formats>
  <pivotHierarchies count="60">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3" iMeasureHier="42">
      <autoFilter ref="A1">
        <filterColumn colId="0">
          <top10 top="0" val="1" filterVal="1"/>
        </filterColumn>
      </autoFilter>
    </filter>
  </filters>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activeTabTopLevelEntity name="[Dim_rout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45F9B59-CD3A-4079-BB9C-5002A8B7F210}" name="PivotTable23" cacheId="11658" applyNumberFormats="0" applyBorderFormats="0" applyFontFormats="0" applyPatternFormats="0" applyAlignmentFormats="0" applyWidthHeightFormats="1" dataCaption="Values" tag="5bcccc32-04dd-420b-970e-9cfbd791fc6f" updatedVersion="8" minRefreshableVersion="3" subtotalHiddenItems="1" rowGrandTotals="0" itemPrintTitles="1" createdVersion="8" indent="0" compact="0" compactData="0" multipleFieldFilters="0" chartFormat="27">
  <location ref="BN8:BN9" firstHeaderRow="1" firstDataRow="1" firstDataCol="0"/>
  <pivotFields count="3">
    <pivotField compact="0" allDrilled="1" outline="0" subtotalTop="0" showAll="0" measureFilter="1" dataSourceSort="1" defaultSubtotal="0" defaultAttributeDrillState="1">
      <items count="1">
        <item x="0"/>
      </items>
    </pivotField>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fld="1" subtotal="count" baseField="0" baseItem="0" numFmtId="1"/>
  </dataFields>
  <formats count="5">
    <format dxfId="18">
      <pivotArea outline="0" collapsedLevelsAreSubtotals="1" fieldPosition="0"/>
    </format>
    <format dxfId="19">
      <pivotArea type="all" dataOnly="0" outline="0" fieldPosition="0"/>
    </format>
    <format dxfId="20">
      <pivotArea outline="0" collapsedLevelsAreSubtotals="1" fieldPosition="0"/>
    </format>
    <format dxfId="21">
      <pivotArea dataOnly="0" labelOnly="1" outline="0" axis="axisValues" fieldPosition="0"/>
    </format>
    <format dxfId="22">
      <pivotArea outline="0" collapsedLevelsAreSubtotals="1" fieldPosition="0"/>
    </format>
  </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42">
      <autoFilter ref="A1">
        <filterColumn colId="0">
          <top10 top="0" val="1" filterVal="1"/>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activeTabTopLevelEntity name="[Dim_rout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3820EA4-0991-4E59-956A-ACAEBEC73C40}" name="PivotTable4" cacheId="11647" applyNumberFormats="0" applyBorderFormats="0" applyFontFormats="0" applyPatternFormats="0" applyAlignmentFormats="0" applyWidthHeightFormats="1" dataCaption="Values" tag="52aff1e3-5266-479c-92db-9deee528b29f" updatedVersion="8" minRefreshableVersion="3" subtotalHiddenItems="1" rowGrandTotals="0" itemPrintTitles="1" createdVersion="8" indent="0" compact="0" compactData="0" multipleFieldFilters="0">
  <location ref="B14:C15" firstHeaderRow="1" firstDataRow="1" firstDataCol="1"/>
  <pivotFields count="3">
    <pivotField dataField="1" compact="0" outline="0" subtotalTop="0" showAll="0" defaultSubtotal="0"/>
    <pivotField axis="axisRow" compact="0" allDrilled="1" outline="0" subtotalTop="0" showAll="0" measureFilter="1" defaultSubtotal="0" defaultAttributeDrillState="1">
      <items count="1">
        <item x="0"/>
      </items>
    </pivotField>
    <pivotField compact="0" allDrilled="1" outline="0" subtotalTop="0" showAll="0" dataSourceSort="1" defaultSubtotal="0" defaultAttributeDrillState="1"/>
  </pivotFields>
  <rowFields count="1">
    <field x="1"/>
  </rowFields>
  <rowItems count="1">
    <i>
      <x/>
    </i>
  </rowItems>
  <colItems count="1">
    <i/>
  </colItems>
  <dataFields count="1">
    <dataField name="Total Riders (Passangers)" fld="0" baseField="0" baseItem="0"/>
  </dataField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2" iMeasureHier="42">
      <autoFilter ref="A1">
        <filterColumn colId="0">
          <top10 top="0" val="1" filterVal="1"/>
        </filterColumn>
      </autoFilter>
    </filter>
  </filters>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activeTabTopLevelEntity name="[Dim_rou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2316EB3-EFA4-4478-BD76-FDA374883D8F}" name="PivotTable12" cacheId="11652" applyNumberFormats="0" applyBorderFormats="0" applyFontFormats="0" applyPatternFormats="0" applyAlignmentFormats="0" applyWidthHeightFormats="1" dataCaption="Values" tag="49d7cd7c-ebcf-4179-bd5b-3a20934a82f6" updatedVersion="8" minRefreshableVersion="3" subtotalHiddenItems="1" rowGrandTotals="0" itemPrintTitles="1" createdVersion="8" indent="0" compact="0" compactData="0" multipleFieldFilters="0" chartFormat="17">
  <location ref="AH10:AH11" firstHeaderRow="1" firstDataRow="1" firstDataCol="0"/>
  <pivotFields count="3">
    <pivotField compact="0" allDrilled="1" outline="0" subtotalTop="0" showAll="0" measureFilter="1" dataSourceSort="1" defaultSubtotal="0" defaultAttributeDrillState="1">
      <items count="1">
        <item x="0"/>
      </items>
    </pivotField>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fld="1" subtotal="count" baseField="0" baseItem="0"/>
  </dataFields>
  <formats count="1">
    <format dxfId="17">
      <pivotArea outline="0" collapsedLevelsAreSubtotals="1" fieldPosition="0"/>
    </format>
  </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42">
      <autoFilter ref="A1">
        <filterColumn colId="0">
          <top10 top="0" val="1" filterVal="1"/>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activeTabTopLevelEntity name="[Dim_rout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5B84854-FCCF-44E8-BCFB-90EB640E6C10}" name="PivotTable7" cacheId="11662" applyNumberFormats="0" applyBorderFormats="0" applyFontFormats="0" applyPatternFormats="0" applyAlignmentFormats="0" applyWidthHeightFormats="1" dataCaption="Values" tag="3d6709f5-d58b-4973-a923-31dd85feff44" updatedVersion="8" minRefreshableVersion="3" subtotalHiddenItems="1" rowGrandTotals="0" itemPrintTitles="1" createdVersion="8" indent="0" compact="0" compactData="0" multipleFieldFilters="0" chartFormat="4">
  <location ref="G16:H17"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compact="0" allDrilled="1" outline="0" subtotalTop="0" showAll="0" measureFilter="1" dataSourceSort="1" defaultSubtotal="0" defaultAttributeDrillState="1">
      <items count="1">
        <item x="0"/>
      </items>
    </pivotField>
    <pivotField compact="0" allDrilled="1" outline="0" subtotalTop="0" showAll="0" dataSourceSort="1" defaultSubtotal="0" defaultAttributeDrillState="1"/>
  </pivotFields>
  <rowFields count="1">
    <field x="2"/>
  </rowFields>
  <rowItems count="1">
    <i>
      <x/>
    </i>
  </rowItems>
  <colItems count="1">
    <i/>
  </colItems>
  <dataFields count="1">
    <dataField name="Total Riders (Passangers)" fld="0" baseField="0" baseItem="0"/>
  </dataFields>
  <chartFormats count="1">
    <chartFormat chart="2"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3" iMeasureHier="42">
      <autoFilter ref="A1">
        <filterColumn colId="0">
          <top10 top="0" val="1" filterVal="1"/>
        </filterColumn>
      </autoFilter>
    </filter>
  </filters>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activeTabTopLevelEntity name="[Dim_rou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1D1F10E-062C-4903-8BD2-860B45D9292C}" name="PivotTable13" cacheId="11645" applyNumberFormats="0" applyBorderFormats="0" applyFontFormats="0" applyPatternFormats="0" applyAlignmentFormats="0" applyWidthHeightFormats="1" dataCaption="Values" errorCaption="0" showError="1" missingCaption="0" tag="4606601a-4931-4462-a424-c1bbf3d55c16" updatedVersion="8" minRefreshableVersion="3" subtotalHiddenItems="1" rowGrandTotals="0" itemPrintTitles="1" createdVersion="8" indent="0" showEmptyRow="1" showEmptyCol="1" compact="0" compactData="0" multipleFieldFilters="0" chartFormat="18">
  <location ref="AL6:AM16" firstHeaderRow="1" firstDataRow="1" firstDataCol="1"/>
  <pivotFields count="4">
    <pivotField axis="axisRow"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measureFilter="1" dataSourceSort="1" defaultSubtotal="0" defaultAttributeDrillState="1">
      <items count="1">
        <item x="0"/>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10">
    <i>
      <x v="4"/>
    </i>
    <i>
      <x v="2"/>
    </i>
    <i>
      <x/>
    </i>
    <i>
      <x v="9"/>
    </i>
    <i>
      <x v="8"/>
    </i>
    <i>
      <x v="5"/>
    </i>
    <i>
      <x v="3"/>
    </i>
    <i>
      <x v="1"/>
    </i>
    <i>
      <x v="6"/>
    </i>
    <i>
      <x v="7"/>
    </i>
  </rowItems>
  <colItems count="1">
    <i/>
  </colItems>
  <dataFields count="1">
    <dataField name="Sum of NumberOfRiders" fld="2" baseField="0" baseItem="0"/>
  </dataFields>
  <formats count="6">
    <format dxfId="11">
      <pivotArea outline="0" collapsedLevelsAreSubtotals="1" fieldPosition="0"/>
    </format>
    <format dxfId="12">
      <pivotArea type="all" dataOnly="0" outline="0" fieldPosition="0"/>
    </format>
    <format dxfId="13">
      <pivotArea outline="0" collapsedLevelsAreSubtotals="1" fieldPosition="0"/>
    </format>
    <format dxfId="14">
      <pivotArea field="0" type="button" dataOnly="0" labelOnly="1" outline="0" axis="axisRow" fieldPosition="0"/>
    </format>
    <format dxfId="15">
      <pivotArea dataOnly="0" labelOnly="1" outline="0" fieldPosition="0">
        <references count="1">
          <reference field="0" count="0"/>
        </references>
      </pivotArea>
    </format>
    <format dxfId="16">
      <pivotArea dataOnly="0" labelOnly="1" outline="0" axis="axisValues" fieldPosition="0"/>
    </format>
  </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3" iMeasureHier="42">
      <autoFilter ref="A1">
        <filterColumn colId="0">
          <top10 top="0" val="1" filterVal="1"/>
        </filterColumn>
      </autoFilter>
    </filter>
  </filters>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activeTabTopLevelEntity name="[Dim_rout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700587D-E2CC-4D1C-AFCC-8F747657C9CF}" name="PivotTable9" cacheId="11664" applyNumberFormats="0" applyBorderFormats="0" applyFontFormats="0" applyPatternFormats="0" applyAlignmentFormats="0" applyWidthHeightFormats="1" dataCaption="Values" tag="f9430be7-8c24-4cda-a160-67af4a5f76da" updatedVersion="8" minRefreshableVersion="3" subtotalHiddenItems="1" rowGrandTotals="0" itemPrintTitles="1" createdVersion="8" indent="0" compact="0" compactData="0" multipleFieldFilters="0" chartFormat="17">
  <location ref="L11:M13" firstHeaderRow="1" firstDataRow="1" firstDataCol="1"/>
  <pivotFields count="5">
    <pivotField dataField="1" compact="0" outline="0" subtotalTop="0" showAll="0" defaultSubtotal="0"/>
    <pivotField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compact="0" allDrilled="1" outline="0" subtotalTop="0" showAll="0" measureFilter="1" dataSourceSort="1" defaultSubtotal="0" defaultAttributeDrillState="1">
      <items count="1">
        <item x="0"/>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3"/>
  </rowFields>
  <rowItems count="2">
    <i>
      <x/>
    </i>
    <i>
      <x v="1"/>
    </i>
  </rowItems>
  <colItems count="1">
    <i/>
  </colItems>
  <dataFields count="1">
    <dataField name="Total Riders (Passangers)" fld="0" baseField="0" baseItem="0"/>
  </dataFields>
  <chartFormats count="5">
    <chartFormat chart="2" format="2"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3" iMeasureHier="42">
      <autoFilter ref="A1">
        <filterColumn colId="0">
          <top10 top="0" val="1" filterVal="1"/>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activeTabTopLevelEntity name="[Dim_rout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F4E7B1A-F6C8-4C86-97FE-51AF0F33937D}" name="PivotTable17" cacheId="11656" applyNumberFormats="0" applyBorderFormats="0" applyFontFormats="0" applyPatternFormats="0" applyAlignmentFormats="0" applyWidthHeightFormats="1" dataCaption="Values" tag="514fb705-83dd-4700-861e-5d92ec95f362" updatedVersion="8" minRefreshableVersion="3" subtotalHiddenItems="1" rowGrandTotals="0" itemPrintTitles="1" createdVersion="8" indent="0" compact="0" compactData="0" multipleFieldFilters="0" chartFormat="24">
  <location ref="BC8:BD48" firstHeaderRow="1" firstDataRow="1" firstDataCol="1"/>
  <pivotFields count="4">
    <pivotField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measureFilter="1" dataSourceSort="1" defaultSubtotal="0" defaultAttributeDrillState="1">
      <items count="1">
        <item x="0"/>
      </items>
    </pivotField>
    <pivotField dataField="1" compact="0" outline="0" subtotalTop="0" showAll="0" defaultSubtotal="0"/>
    <pivotField axis="axisRow" compact="0" allDrilled="1" outline="0" subtotalTop="0" showAll="0" sortType="ascending" defaultSubtotal="0" defaultAttributeDrillState="1">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s>
      <autoSortScope>
        <pivotArea dataOnly="0" outline="0" fieldPosition="0">
          <references count="1">
            <reference field="4294967294" count="1" selected="0">
              <x v="0"/>
            </reference>
          </references>
        </pivotArea>
      </autoSortScope>
    </pivotField>
  </pivotFields>
  <rowFields count="1">
    <field x="3"/>
  </rowFields>
  <rowItems count="40">
    <i>
      <x v="38"/>
    </i>
    <i>
      <x v="25"/>
    </i>
    <i>
      <x v="18"/>
    </i>
    <i>
      <x v="13"/>
    </i>
    <i>
      <x v="12"/>
    </i>
    <i>
      <x v="33"/>
    </i>
    <i>
      <x v="4"/>
    </i>
    <i>
      <x v="39"/>
    </i>
    <i>
      <x v="14"/>
    </i>
    <i>
      <x v="22"/>
    </i>
    <i>
      <x v="34"/>
    </i>
    <i>
      <x v="35"/>
    </i>
    <i>
      <x v="28"/>
    </i>
    <i>
      <x v="23"/>
    </i>
    <i>
      <x v="5"/>
    </i>
    <i>
      <x/>
    </i>
    <i>
      <x v="15"/>
    </i>
    <i>
      <x v="10"/>
    </i>
    <i>
      <x v="7"/>
    </i>
    <i>
      <x v="31"/>
    </i>
    <i>
      <x v="11"/>
    </i>
    <i>
      <x v="1"/>
    </i>
    <i>
      <x v="30"/>
    </i>
    <i>
      <x v="21"/>
    </i>
    <i>
      <x v="8"/>
    </i>
    <i>
      <x v="16"/>
    </i>
    <i>
      <x v="29"/>
    </i>
    <i>
      <x v="24"/>
    </i>
    <i>
      <x v="6"/>
    </i>
    <i>
      <x v="17"/>
    </i>
    <i>
      <x v="36"/>
    </i>
    <i>
      <x v="2"/>
    </i>
    <i>
      <x v="32"/>
    </i>
    <i>
      <x v="19"/>
    </i>
    <i>
      <x v="9"/>
    </i>
    <i>
      <x v="37"/>
    </i>
    <i>
      <x v="20"/>
    </i>
    <i>
      <x v="26"/>
    </i>
    <i>
      <x v="27"/>
    </i>
    <i>
      <x v="3"/>
    </i>
  </rowItems>
  <colItems count="1">
    <i/>
  </colItems>
  <dataFields count="1">
    <dataField name="Sum of NumberOfRiders" fld="2" baseField="0" baseItem="0"/>
  </dataFields>
  <formats count="5">
    <format dxfId="6">
      <pivotArea outline="0" collapsedLevelsAreSubtotals="1" fieldPosition="0"/>
    </format>
    <format dxfId="7">
      <pivotArea type="all" dataOnly="0" outline="0" fieldPosition="0"/>
    </format>
    <format dxfId="8">
      <pivotArea outline="0" collapsedLevelsAreSubtotals="1" fieldPosition="0"/>
    </format>
    <format dxfId="9">
      <pivotArea field="0" type="button" dataOnly="0" labelOnly="1" outline="0"/>
    </format>
    <format dxfId="10">
      <pivotArea dataOnly="0" labelOnly="1" outline="0" axis="axisValues" fieldPosition="0"/>
    </format>
  </formats>
  <chartFormats count="3">
    <chartFormat chart="21" format="0" series="1">
      <pivotArea type="data" outline="0" fieldPosition="0">
        <references count="1">
          <reference field="4294967294" count="1" selected="0">
            <x v="0"/>
          </reference>
        </references>
      </pivotArea>
    </chartFormat>
    <chartFormat chart="22" format="4" series="1">
      <pivotArea type="data" outline="0" fieldPosition="0">
        <references count="1">
          <reference field="4294967294" count="1" selected="0">
            <x v="0"/>
          </reference>
        </references>
      </pivotArea>
    </chartFormat>
    <chartFormat chart="23" format="8"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3" iMeasureHier="42">
      <autoFilter ref="A1">
        <filterColumn colId="0">
          <top10 top="0" val="1" filterVal="1"/>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activeTabTopLevelEntity name="[Dim_rout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9D95369-819C-4C5D-A13C-D042F434CB8E}" name="PivotTable14" cacheId="11653" applyNumberFormats="0" applyBorderFormats="0" applyFontFormats="0" applyPatternFormats="0" applyAlignmentFormats="0" applyWidthHeightFormats="1" dataCaption="Values" tag="108db242-f670-45a0-b32b-8d710ca50d4e" updatedVersion="8" minRefreshableVersion="3" subtotalHiddenItems="1" rowGrandTotals="0" itemPrintTitles="1" createdVersion="8" indent="0" compact="0" compactData="0" multipleFieldFilters="0" chartFormat="24">
  <location ref="AZ8:BA48" firstHeaderRow="1" firstDataRow="1" firstDataCol="1"/>
  <pivotFields count="4">
    <pivotField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measureFilter="1" dataSourceSort="1" defaultSubtotal="0" defaultAttributeDrillState="1">
      <items count="1">
        <item x="0"/>
      </items>
    </pivotField>
    <pivotField dataField="1" compact="0" outline="0" subtotalTop="0" showAll="0" defaultSubtotal="0"/>
    <pivotField axis="axisRow" compact="0" allDrilled="1" outline="0" subtotalTop="0" showAll="0" sortType="descending" defaultSubtotal="0" defaultAttributeDrillState="1">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s>
      <autoSortScope>
        <pivotArea dataOnly="0" outline="0" fieldPosition="0">
          <references count="1">
            <reference field="4294967294" count="1" selected="0">
              <x v="0"/>
            </reference>
          </references>
        </pivotArea>
      </autoSortScope>
    </pivotField>
  </pivotFields>
  <rowFields count="1">
    <field x="3"/>
  </rowFields>
  <rowItems count="40">
    <i>
      <x v="3"/>
    </i>
    <i>
      <x v="27"/>
    </i>
    <i>
      <x v="26"/>
    </i>
    <i>
      <x v="20"/>
    </i>
    <i>
      <x v="37"/>
    </i>
    <i>
      <x v="9"/>
    </i>
    <i>
      <x v="19"/>
    </i>
    <i>
      <x v="32"/>
    </i>
    <i>
      <x v="36"/>
    </i>
    <i>
      <x v="2"/>
    </i>
    <i>
      <x v="17"/>
    </i>
    <i>
      <x v="6"/>
    </i>
    <i>
      <x v="24"/>
    </i>
    <i>
      <x v="29"/>
    </i>
    <i>
      <x v="16"/>
    </i>
    <i>
      <x v="8"/>
    </i>
    <i>
      <x v="21"/>
    </i>
    <i>
      <x v="30"/>
    </i>
    <i>
      <x v="1"/>
    </i>
    <i>
      <x v="11"/>
    </i>
    <i>
      <x v="31"/>
    </i>
    <i>
      <x v="7"/>
    </i>
    <i>
      <x v="10"/>
    </i>
    <i>
      <x v="15"/>
    </i>
    <i>
      <x/>
    </i>
    <i>
      <x v="5"/>
    </i>
    <i>
      <x v="23"/>
    </i>
    <i>
      <x v="28"/>
    </i>
    <i>
      <x v="35"/>
    </i>
    <i>
      <x v="34"/>
    </i>
    <i>
      <x v="22"/>
    </i>
    <i>
      <x v="14"/>
    </i>
    <i>
      <x v="39"/>
    </i>
    <i>
      <x v="4"/>
    </i>
    <i>
      <x v="33"/>
    </i>
    <i>
      <x v="12"/>
    </i>
    <i>
      <x v="13"/>
    </i>
    <i>
      <x v="18"/>
    </i>
    <i>
      <x v="25"/>
    </i>
    <i>
      <x v="38"/>
    </i>
  </rowItems>
  <colItems count="1">
    <i/>
  </colItems>
  <dataFields count="1">
    <dataField name="Sum of NumberOfRiders" fld="2" baseField="0" baseItem="0"/>
  </dataFields>
  <formats count="5">
    <format dxfId="1">
      <pivotArea outline="0" collapsedLevelsAreSubtotals="1" fieldPosition="0"/>
    </format>
    <format dxfId="2">
      <pivotArea type="all" dataOnly="0" outline="0" fieldPosition="0"/>
    </format>
    <format dxfId="3">
      <pivotArea outline="0" collapsedLevelsAreSubtotals="1" fieldPosition="0"/>
    </format>
    <format dxfId="4">
      <pivotArea field="0" type="button" dataOnly="0" labelOnly="1" outline="0"/>
    </format>
    <format dxfId="5">
      <pivotArea dataOnly="0" labelOnly="1" outline="0" axis="axisValues" fieldPosition="0"/>
    </format>
  </formats>
  <chartFormats count="3">
    <chartFormat chart="21" format="0" series="1">
      <pivotArea type="data" outline="0" fieldPosition="0">
        <references count="1">
          <reference field="4294967294" count="1" selected="0">
            <x v="0"/>
          </reference>
        </references>
      </pivotArea>
    </chartFormat>
    <chartFormat chart="22" format="4" series="1">
      <pivotArea type="data" outline="0" fieldPosition="0">
        <references count="1">
          <reference field="4294967294" count="1" selected="0">
            <x v="0"/>
          </reference>
        </references>
      </pivotArea>
    </chartFormat>
    <chartFormat chart="23" format="8"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3" iMeasureHier="42">
      <autoFilter ref="A1">
        <filterColumn colId="0">
          <top10 top="0" val="1" filterVal="1"/>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activeTabTopLevelEntity name="[Dim_rout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22C442BF-E621-46E6-9474-7CC8636C22D5}" name="PivotTable6" cacheId="11661" applyNumberFormats="0" applyBorderFormats="0" applyFontFormats="0" applyPatternFormats="0" applyAlignmentFormats="0" applyWidthHeightFormats="1" dataCaption="Values" tag="f2b59219-0a19-49e5-8274-7663b55e2f15" updatedVersion="8" minRefreshableVersion="3" subtotalHiddenItems="1" rowGrandTotals="0" itemPrintTitles="1" createdVersion="8" indent="0" compact="0" compactData="0" multipleFieldFilters="0" chartFormat="4">
  <location ref="G12:H13"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xis="axisRow" compact="0" allDrilled="1" outline="0" subtotalTop="0" showAll="0" measureFilter="1" dataSourceSort="1" defaultSubtotal="0" defaultAttributeDrillState="1">
      <items count="1">
        <item x="0"/>
      </items>
    </pivotField>
    <pivotField compact="0" allDrilled="1" outline="0" subtotalTop="0" showAll="0" dataSourceSort="1" defaultSubtotal="0" defaultAttributeDrillState="1"/>
  </pivotFields>
  <rowFields count="1">
    <field x="2"/>
  </rowFields>
  <rowItems count="1">
    <i>
      <x/>
    </i>
  </rowItems>
  <colItems count="1">
    <i/>
  </colItems>
  <dataFields count="1">
    <dataField name="Total Riders (Passangers)" fld="0" baseField="0" baseItem="0"/>
  </dataFields>
  <chartFormats count="1">
    <chartFormat chart="2"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2" iMeasureHier="42">
      <autoFilter ref="A1">
        <filterColumn colId="0">
          <top10 val="1" filterVal="1"/>
        </filterColumn>
      </autoFilter>
    </filter>
  </filters>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activeTabTopLevelEntity name="[Dim_rou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7F50AAC0-055F-4FF5-99CE-2B754B7F0275}" name="PivotTable10" cacheId="11650" applyNumberFormats="0" applyBorderFormats="0" applyFontFormats="0" applyPatternFormats="0" applyAlignmentFormats="0" applyWidthHeightFormats="1" dataCaption="Values" tag="ab96bb9b-6551-4ff7-acbc-e85454c8d7f5" updatedVersion="8" minRefreshableVersion="3" subtotalHiddenItems="1" rowGrandTotals="0" itemPrintTitles="1" createdVersion="8" indent="0" compact="0" compactData="0" multipleFieldFilters="0" chartFormat="17">
  <location ref="V6:W9" firstHeaderRow="1" firstDataRow="1" firstDataCol="1"/>
  <pivotFields count="4">
    <pivotField compact="0" allDrilled="1" outline="0" subtotalTop="0" showAll="0" measureFilter="1" dataSourceSort="1" defaultSubtotal="0" defaultAttributeDrillState="1">
      <items count="1">
        <item x="0"/>
      </items>
    </pivotField>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s>
  <rowFields count="1">
    <field x="2"/>
  </rowFields>
  <rowItems count="3">
    <i>
      <x/>
    </i>
    <i>
      <x v="1"/>
    </i>
    <i>
      <x v="2"/>
    </i>
  </rowItems>
  <colItems count="1">
    <i/>
  </colItems>
  <dataFields count="1">
    <dataField fld="1" subtotal="count" baseField="0" baseItem="0"/>
  </dataField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42">
      <autoFilter ref="A1">
        <filterColumn colId="0">
          <top10 top="0" val="1" filterVal="1"/>
        </filterColumn>
      </autoFilter>
    </filter>
  </filters>
  <rowHierarchiesUsage count="1">
    <rowHierarchyUsage hierarchyUsage="3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activeTabTopLevelEntity name="[Dim_routes]"/>
        <x15:activeTabTopLevelEntity name="[Dim_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18DBAE8F-9F78-4EA6-A9B1-A5C932D1336F}" name="PivotTable1" cacheId="11649" applyNumberFormats="0" applyBorderFormats="0" applyFontFormats="0" applyPatternFormats="0" applyAlignmentFormats="0" applyWidthHeightFormats="1" dataCaption="Values" tag="6979b50e-4834-4017-a23e-38084d92e953" updatedVersion="8" minRefreshableVersion="3" subtotalHiddenItems="1" itemPrintTitles="1" createdVersion="8" indent="0" compact="0" compactData="0" multipleFieldFilters="0">
  <location ref="B6:C7"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name="Total Riders (Passangers)" fld="0" baseField="0" baseItem="0"/>
    <dataField name="Average Riders Per Trip" fld="1" subtotal="average" baseField="0" baseItem="1" numFmtId="1"/>
  </dataFields>
  <formats count="1">
    <format dxfId="0">
      <pivotArea outline="0" fieldPosition="0">
        <references count="1">
          <reference field="4294967294" count="1" selected="0">
            <x v="1"/>
          </reference>
        </references>
      </pivotArea>
    </format>
  </formats>
  <pivotHierarchies count="5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Age"/>
    <pivotHierarchy dragToData="1" caption="Count of BusID"/>
    <pivotHierarchy dragToData="1" caption="Count of BusID"/>
    <pivotHierarchy dragToData="1" caption="Total Riders (Passangers)"/>
    <pivotHierarchy dragToData="1" caption="Average Riders Per Trip"/>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im_demographics]"/>
        <x15:activeTabTopLevelEntity name="[Dim_buses]"/>
        <x15:activeTabTopLevelEntity name="[Facttable_ridership]"/>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B9CE7048-4ED7-4243-B9D5-32C07C1243D3}" sourceName="[Dim_demographics].[Gender]">
  <pivotTables>
    <pivotTable tabId="1" name="PivotTable25"/>
    <pivotTable tabId="1" name="PivotTable20"/>
    <pivotTable tabId="1" name="PivotTable13"/>
    <pivotTable tabId="1" name="PivotTable15"/>
    <pivotTable tabId="1" name="PivotTable3"/>
    <pivotTable tabId="1" name="PivotTable9"/>
    <pivotTable tabId="1" name="PivotTable8"/>
    <pivotTable tabId="1" name="PivotTable6"/>
    <pivotTable tabId="1" name="PivotTable7"/>
    <pivotTable tabId="1" name="PivotTable5"/>
    <pivotTable tabId="1" name="PivotTable1"/>
    <pivotTable tabId="1" name="PivotTable2"/>
    <pivotTable tabId="1" name="PivotTable4"/>
    <pivotTable tabId="1" name="PivotTable11"/>
    <pivotTable tabId="1" name="PivotTable12"/>
    <pivotTable tabId="1" name="PivotTable14"/>
    <pivotTable tabId="1" name="PivotTable17"/>
  </pivotTables>
  <data>
    <olap pivotCacheId="1022739993">
      <levels count="2">
        <level uniqueName="[Dim_demographics].[Gender].[(All)]" sourceCaption="(All)" count="0"/>
        <level uniqueName="[Dim_demographics].[Gender].[Gender]" sourceCaption="Gender" count="3">
          <ranges>
            <range startItem="0">
              <i n="[Dim_demographics].[Gender].&amp;[Female]" c="Female"/>
              <i n="[Dim_demographics].[Gender].&amp;[Male]" c="Male"/>
              <i n="[Dim_demographics].[Gender].&amp;[Other]" c="Other"/>
            </range>
          </ranges>
        </level>
      </levels>
      <selections count="1">
        <selection n="[Dim_demographics].[Gende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46E58E85-F48C-4B9C-9275-8F0C98952480}" sourceName="[Dim_Date].[Year]">
  <pivotTables>
    <pivotTable tabId="1" name="PivotTable25"/>
    <pivotTable tabId="1" name="PivotTable1"/>
    <pivotTable tabId="1" name="PivotTable10"/>
    <pivotTable tabId="1" name="PivotTable11"/>
    <pivotTable tabId="1" name="PivotTable12"/>
    <pivotTable tabId="1" name="PivotTable13"/>
    <pivotTable tabId="1" name="PivotTable14"/>
    <pivotTable tabId="1" name="PivotTable15"/>
    <pivotTable tabId="1" name="PivotTable16"/>
    <pivotTable tabId="1" name="PivotTable17"/>
    <pivotTable tabId="1" name="PivotTable2"/>
    <pivotTable tabId="1" name="PivotTable20"/>
    <pivotTable tabId="1" name="PivotTable23"/>
    <pivotTable tabId="1" name="PivotTable3"/>
    <pivotTable tabId="1" name="PivotTable4"/>
    <pivotTable tabId="1" name="PivotTable5"/>
    <pivotTable tabId="1" name="PivotTable6"/>
    <pivotTable tabId="1" name="PivotTable7"/>
    <pivotTable tabId="1" name="PivotTable9"/>
  </pivotTables>
  <data>
    <olap pivotCacheId="1022739993">
      <levels count="2">
        <level uniqueName="[Dim_Date].[Year].[(All)]" sourceCaption="(All)" count="0"/>
        <level uniqueName="[Dim_Date].[Year].[Year]" sourceCaption="Year" count="2">
          <ranges>
            <range startItem="0">
              <i n="[Dim_Date].[Year].&amp;[2023]" c="2023"/>
              <i n="[Dim_Date].[Year].&amp;[2024]" c="2024"/>
            </range>
          </ranges>
        </level>
      </levels>
      <selections count="1">
        <selection n="[Dim_Date].[Yea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uteName" xr10:uid="{F2570A9A-C394-4CAD-A2E1-200CEBCFE548}" sourceName="[Dim_routes].[RouteName]">
  <pivotTables>
    <pivotTable tabId="1" name="PivotTable25"/>
    <pivotTable tabId="1" name="PivotTable1"/>
    <pivotTable tabId="1" name="PivotTable10"/>
    <pivotTable tabId="1" name="PivotTable11"/>
    <pivotTable tabId="1" name="PivotTable12"/>
    <pivotTable tabId="1" name="PivotTable14"/>
    <pivotTable tabId="1" name="PivotTable15"/>
    <pivotTable tabId="1" name="PivotTable16"/>
    <pivotTable tabId="1" name="PivotTable17"/>
    <pivotTable tabId="1" name="PivotTable20"/>
    <pivotTable tabId="1" name="PivotTable23"/>
    <pivotTable tabId="1" name="PivotTable3"/>
    <pivotTable tabId="1" name="PivotTable5"/>
    <pivotTable tabId="1" name="PivotTable6"/>
    <pivotTable tabId="1" name="PivotTable7"/>
    <pivotTable tabId="1" name="PivotTable8"/>
    <pivotTable tabId="1" name="PivotTable9"/>
  </pivotTables>
  <data>
    <olap pivotCacheId="1022739993">
      <levels count="2">
        <level uniqueName="[Dim_routes].[RouteName].[(All)]" sourceCaption="(All)" count="0"/>
        <level uniqueName="[Dim_routes].[RouteName].[RouteName]" sourceCaption="RouteName" count="10">
          <ranges>
            <range startItem="0">
              <i n="[Dim_routes].[RouteName].&amp;[Airport Express]" c="Airport Express"/>
              <i n="[Dim_routes].[RouteName].&amp;[Beachfront Route]" c="Beachfront Route"/>
              <i n="[Dim_routes].[RouteName].&amp;[Central Line]" c="Central Line"/>
              <i n="[Dim_routes].[RouteName].&amp;[City Shuttle]" c="City Shuttle"/>
              <i n="[Dim_routes].[RouteName].&amp;[East-West Express]" c="East-West Express"/>
              <i n="[Dim_routes].[RouteName].&amp;[Market Line]" c="Market Line"/>
              <i n="[Dim_routes].[RouteName].&amp;[North Circular]" c="North Circular"/>
              <i n="[Dim_routes].[RouteName].&amp;[South Line]" c="South Line"/>
              <i n="[Dim_routes].[RouteName].&amp;[Suburban Line]" c="Suburban Line"/>
              <i n="[Dim_routes].[RouteName].&amp;[University Line]" c="University Line"/>
            </range>
          </ranges>
        </level>
      </levels>
      <selections count="1">
        <selection n="[Dim_routes].[Route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D9782225-E641-4211-86DD-DC2B889A52B8}" cache="Slicer_Gender" caption="Gender" level="1" style="MySlicer" rowHeight="249238"/>
  <slicer name="Year" xr10:uid="{6EA6BDD6-3176-48ED-A4C1-1228E829AA5A}" cache="Slicer_Year" caption="Year" level="1" style="MySlicer" rowHeight="249238"/>
  <slicer name="RouteName" xr10:uid="{9539BBAB-C2D5-426A-91F3-31986E6E4526}" cache="Slicer_RouteName" caption="RouteName" level="1" style="MySlicer" rowHeight="24923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microsoft.com/office/2007/relationships/slicer" Target="../slicers/slicer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0601-F0F3-43A6-8E1D-6A373CC7BC4A}">
  <dimension ref="A1:CK48"/>
  <sheetViews>
    <sheetView topLeftCell="BS1" workbookViewId="0">
      <selection activeCell="AL6" sqref="AL6"/>
    </sheetView>
  </sheetViews>
  <sheetFormatPr defaultRowHeight="14.25"/>
  <cols>
    <col min="1" max="1" width="16" bestFit="1" customWidth="1"/>
    <col min="2" max="3" width="21" bestFit="1" customWidth="1"/>
    <col min="4" max="4" width="10.42578125" bestFit="1" customWidth="1"/>
    <col min="5" max="5" width="4" style="21" customWidth="1"/>
    <col min="6" max="6" width="10.42578125" bestFit="1" customWidth="1"/>
    <col min="7" max="7" width="15.140625" bestFit="1" customWidth="1"/>
    <col min="8" max="8" width="21" bestFit="1" customWidth="1"/>
    <col min="10" max="10" width="4.7109375" style="22" customWidth="1"/>
    <col min="12" max="12" width="13" bestFit="1" customWidth="1"/>
    <col min="13" max="13" width="21" bestFit="1" customWidth="1"/>
    <col min="14" max="14" width="20.140625" bestFit="1" customWidth="1"/>
    <col min="15" max="15" width="8.7109375" bestFit="1" customWidth="1"/>
    <col min="16" max="16" width="20.42578125" bestFit="1" customWidth="1"/>
    <col min="17" max="17" width="16.42578125" bestFit="1" customWidth="1"/>
    <col min="18" max="18" width="11.85546875" bestFit="1" customWidth="1"/>
    <col min="20" max="20" width="6" style="22" customWidth="1"/>
    <col min="22" max="22" width="15.140625" bestFit="1" customWidth="1"/>
    <col min="23" max="24" width="21" bestFit="1" customWidth="1"/>
    <col min="25" max="25" width="20.140625" bestFit="1" customWidth="1"/>
    <col min="26" max="26" width="4.7109375" style="22" customWidth="1"/>
    <col min="28" max="28" width="18" bestFit="1" customWidth="1"/>
    <col min="29" max="29" width="20.140625" bestFit="1" customWidth="1"/>
    <col min="30" max="30" width="21.28515625" bestFit="1" customWidth="1"/>
    <col min="32" max="32" width="5" style="7" customWidth="1"/>
    <col min="34" max="34" width="18" bestFit="1" customWidth="1"/>
    <col min="35" max="35" width="16.7109375" customWidth="1"/>
    <col min="36" max="36" width="4.140625" style="22" customWidth="1"/>
    <col min="38" max="39" width="20.140625" bestFit="1" customWidth="1"/>
    <col min="40" max="40" width="10.42578125" customWidth="1"/>
    <col min="43" max="43" width="9.42578125" customWidth="1"/>
    <col min="45" max="45" width="3.7109375" style="22" customWidth="1"/>
    <col min="47" max="47" width="15.140625" bestFit="1" customWidth="1"/>
    <col min="48" max="48" width="20.140625" bestFit="1" customWidth="1"/>
    <col min="50" max="50" width="3.42578125" style="22" customWidth="1"/>
    <col min="52" max="52" width="11.7109375" bestFit="1" customWidth="1"/>
    <col min="53" max="53" width="20.140625" bestFit="1" customWidth="1"/>
    <col min="54" max="54" width="9" customWidth="1"/>
    <col min="56" max="56" width="19.7109375" bestFit="1" customWidth="1"/>
    <col min="59" max="59" width="19.7109375" bestFit="1" customWidth="1"/>
    <col min="61" max="61" width="4.7109375" style="22" customWidth="1"/>
    <col min="63" max="64" width="20.140625" bestFit="1" customWidth="1"/>
    <col min="65" max="65" width="12.42578125" customWidth="1"/>
    <col min="66" max="66" width="10.42578125" bestFit="1" customWidth="1"/>
    <col min="68" max="68" width="4.5703125" style="22" customWidth="1"/>
    <col min="70" max="70" width="12" bestFit="1" customWidth="1"/>
    <col min="71" max="71" width="20.140625" bestFit="1" customWidth="1"/>
  </cols>
  <sheetData>
    <row r="1" spans="1:89" ht="23.25">
      <c r="A1" s="16"/>
      <c r="B1" s="16"/>
      <c r="C1" s="16"/>
      <c r="D1" s="16"/>
      <c r="E1" s="20"/>
      <c r="F1" s="16"/>
      <c r="G1" s="16"/>
      <c r="H1" s="16"/>
      <c r="I1" s="16"/>
      <c r="J1" s="16"/>
      <c r="K1" s="16"/>
      <c r="L1" s="16"/>
      <c r="M1" s="16"/>
      <c r="N1" s="16"/>
      <c r="O1" s="16"/>
      <c r="P1" s="16"/>
      <c r="Q1" s="16"/>
      <c r="R1" s="16"/>
      <c r="S1" s="16"/>
      <c r="T1" s="16"/>
      <c r="U1" s="17" t="s">
        <v>0</v>
      </c>
      <c r="V1" s="18"/>
      <c r="W1" s="18"/>
      <c r="X1" s="18"/>
      <c r="Y1" s="18"/>
      <c r="Z1" s="18"/>
      <c r="AA1" s="18"/>
      <c r="AB1" s="18"/>
      <c r="AC1" s="18"/>
      <c r="AD1" s="18"/>
      <c r="AE1" s="18"/>
      <c r="AG1" s="23"/>
      <c r="AH1" s="24"/>
      <c r="AI1" s="24"/>
      <c r="AJ1" s="24"/>
      <c r="AK1" s="24"/>
      <c r="AL1" s="24"/>
      <c r="AM1" s="24"/>
      <c r="AN1" s="24"/>
      <c r="AO1" s="24"/>
      <c r="AP1" s="24"/>
      <c r="AQ1" s="24"/>
      <c r="AR1" s="23"/>
      <c r="AS1" s="25"/>
      <c r="AT1" s="23"/>
      <c r="AU1" s="23"/>
      <c r="AV1" s="23"/>
      <c r="AW1" s="23"/>
      <c r="AX1" s="25"/>
      <c r="AY1" s="23"/>
      <c r="AZ1" s="23"/>
      <c r="BA1" s="23"/>
      <c r="BB1" s="23"/>
      <c r="BC1" s="23"/>
      <c r="BD1" s="24"/>
      <c r="BE1" s="24"/>
      <c r="BF1" s="24"/>
      <c r="BG1" s="24"/>
      <c r="BH1" s="24"/>
      <c r="BI1" s="30"/>
      <c r="BJ1" s="24"/>
      <c r="BK1" s="24"/>
      <c r="BL1" s="24"/>
      <c r="BM1" s="24"/>
      <c r="BN1" s="32"/>
      <c r="BO1" s="32"/>
      <c r="BQ1" s="32"/>
      <c r="BR1" s="32"/>
      <c r="BS1" s="32"/>
      <c r="BT1" s="32"/>
      <c r="BU1" s="32"/>
      <c r="BV1" s="32"/>
      <c r="BW1" s="32"/>
      <c r="BX1" s="32"/>
      <c r="BY1" s="32"/>
      <c r="BZ1" s="32"/>
      <c r="CA1" s="32"/>
      <c r="CB1" s="32"/>
      <c r="CC1" s="32"/>
      <c r="CD1" s="32"/>
      <c r="CE1" s="32"/>
      <c r="CF1" s="32"/>
      <c r="CG1" s="32"/>
      <c r="CH1" s="32"/>
      <c r="CI1" s="32"/>
      <c r="CJ1" s="32"/>
      <c r="CK1" s="32"/>
    </row>
    <row r="5" spans="1:89" ht="14.65" thickBot="1"/>
    <row r="6" spans="1:89" ht="14.65" thickBot="1">
      <c r="B6" t="s">
        <v>1</v>
      </c>
      <c r="C6" t="s">
        <v>2</v>
      </c>
      <c r="G6" s="1" t="s">
        <v>3</v>
      </c>
      <c r="H6" t="s">
        <v>1</v>
      </c>
      <c r="L6" s="1" t="s">
        <v>4</v>
      </c>
      <c r="M6" t="s">
        <v>1</v>
      </c>
      <c r="N6" t="s">
        <v>5</v>
      </c>
      <c r="V6" s="1" t="s">
        <v>6</v>
      </c>
      <c r="W6" t="s">
        <v>7</v>
      </c>
      <c r="X6" t="s">
        <v>7</v>
      </c>
      <c r="AB6" s="1" t="s">
        <v>8</v>
      </c>
      <c r="AC6" t="s">
        <v>5</v>
      </c>
      <c r="AD6" t="s">
        <v>9</v>
      </c>
      <c r="AH6" t="s">
        <v>10</v>
      </c>
      <c r="AL6" s="26" t="s">
        <v>11</v>
      </c>
      <c r="AM6" s="10" t="s">
        <v>5</v>
      </c>
      <c r="AN6" s="9" t="s">
        <v>12</v>
      </c>
      <c r="AU6" s="26" t="s">
        <v>13</v>
      </c>
      <c r="AV6" s="10" t="s">
        <v>5</v>
      </c>
      <c r="AZ6" s="28" t="s">
        <v>14</v>
      </c>
      <c r="BA6" s="29">
        <v>1</v>
      </c>
    </row>
    <row r="7" spans="1:89">
      <c r="B7" s="35">
        <v>6587</v>
      </c>
      <c r="C7" s="2">
        <v>32.935000000000002</v>
      </c>
      <c r="G7" t="s">
        <v>15</v>
      </c>
      <c r="H7" s="35">
        <v>2421</v>
      </c>
      <c r="L7">
        <v>2023</v>
      </c>
      <c r="M7" s="35">
        <v>5654</v>
      </c>
      <c r="N7" s="6"/>
      <c r="V7" t="s">
        <v>16</v>
      </c>
      <c r="W7" s="14">
        <v>20</v>
      </c>
      <c r="X7" t="str">
        <f>W7&amp;" "&amp;$X$6</f>
        <v>20 Total Buses</v>
      </c>
      <c r="AB7" t="s">
        <v>17</v>
      </c>
      <c r="AC7" s="35">
        <v>2331</v>
      </c>
      <c r="AD7" s="13">
        <v>0.35387885228480342</v>
      </c>
      <c r="AH7" s="19">
        <v>254510</v>
      </c>
      <c r="AL7" s="10" t="s">
        <v>18</v>
      </c>
      <c r="AM7" s="36">
        <v>1322</v>
      </c>
      <c r="AN7" s="10" cm="1">
        <f t="array" ref="AN7">IFERROR(_xlfn.IFS(AM7=$AP$7,AM7,AM7=$AP$8,AM7,AM7=$AP$9,AM7),"")</f>
        <v>1322</v>
      </c>
      <c r="AP7">
        <f>LARGE($AM$7:$AM$16,AQ7)</f>
        <v>1322</v>
      </c>
      <c r="AQ7">
        <v>1</v>
      </c>
      <c r="AU7" s="10" t="s">
        <v>19</v>
      </c>
      <c r="AV7" s="36">
        <v>1007</v>
      </c>
      <c r="BF7" s="38" t="s">
        <v>20</v>
      </c>
      <c r="BG7" s="39"/>
    </row>
    <row r="8" spans="1:89">
      <c r="G8" t="s">
        <v>21</v>
      </c>
      <c r="H8" s="35">
        <v>2331</v>
      </c>
      <c r="L8">
        <v>2024</v>
      </c>
      <c r="M8" s="35">
        <v>933</v>
      </c>
      <c r="N8" s="6">
        <v>-0.83498408206579411</v>
      </c>
      <c r="V8" t="s">
        <v>22</v>
      </c>
      <c r="W8" s="14">
        <v>29</v>
      </c>
      <c r="X8" t="str">
        <f t="shared" ref="X8:X9" si="0">W8&amp;" "&amp;$X$6</f>
        <v>29 Total Buses</v>
      </c>
      <c r="AB8" t="s">
        <v>23</v>
      </c>
      <c r="AC8" s="35">
        <v>4256</v>
      </c>
      <c r="AD8" s="13">
        <v>0.64612114771519658</v>
      </c>
      <c r="AL8" s="10" t="s">
        <v>24</v>
      </c>
      <c r="AM8" s="36">
        <v>1271</v>
      </c>
      <c r="AN8" s="10" cm="1">
        <f t="array" ref="AN8">IFERROR(_xlfn.IFS(AM8=$AP$7,AM8,AM8=$AP$8,AM8,AM8=$AP$9,AM8),"")</f>
        <v>1271</v>
      </c>
      <c r="AP8">
        <f t="shared" ref="AP8:AP9" si="1">LARGE($AM$7:$AM$16,AQ8)</f>
        <v>1271</v>
      </c>
      <c r="AQ8">
        <v>2</v>
      </c>
      <c r="AU8" s="10" t="s">
        <v>25</v>
      </c>
      <c r="AV8" s="36">
        <v>4877</v>
      </c>
      <c r="AZ8" s="26" t="s">
        <v>26</v>
      </c>
      <c r="BA8" s="10" t="s">
        <v>5</v>
      </c>
      <c r="BC8" s="26" t="s">
        <v>26</v>
      </c>
      <c r="BD8" s="10" t="s">
        <v>5</v>
      </c>
      <c r="BF8" s="9" t="str">
        <f>IF($BA$6=1,AZ8,IF($BA$6=2,BC8))</f>
        <v>BusID</v>
      </c>
      <c r="BG8" s="9" t="str">
        <f>IF($BA$6=1,BA8,IF($BA$6=2,BD8))</f>
        <v>Sum of NumberOfRiders</v>
      </c>
      <c r="BK8" s="26" t="s">
        <v>27</v>
      </c>
      <c r="BL8" s="10" t="s">
        <v>5</v>
      </c>
      <c r="BN8" s="10" t="s">
        <v>28</v>
      </c>
      <c r="BR8" s="33" t="s">
        <v>29</v>
      </c>
      <c r="BS8" s="34" t="s">
        <v>5</v>
      </c>
    </row>
    <row r="9" spans="1:89">
      <c r="G9" t="s">
        <v>30</v>
      </c>
      <c r="H9" s="35">
        <v>1835</v>
      </c>
      <c r="V9" t="s">
        <v>31</v>
      </c>
      <c r="W9" s="14">
        <v>34</v>
      </c>
      <c r="X9" t="str">
        <f t="shared" si="0"/>
        <v>34 Total Buses</v>
      </c>
      <c r="AL9" s="10" t="s">
        <v>32</v>
      </c>
      <c r="AM9" s="36">
        <v>754</v>
      </c>
      <c r="AN9" s="10" cm="1">
        <f t="array" ref="AN9">IFERROR(_xlfn.IFS(AM9=$AP$7,AM9,AM9=$AP$8,AM9,AM9=$AP$9,AM9),"")</f>
        <v>754</v>
      </c>
      <c r="AP9">
        <f t="shared" si="1"/>
        <v>754</v>
      </c>
      <c r="AQ9">
        <v>3</v>
      </c>
      <c r="AU9" s="10" t="s">
        <v>33</v>
      </c>
      <c r="AV9" s="36">
        <v>703</v>
      </c>
      <c r="AZ9" s="10">
        <v>4</v>
      </c>
      <c r="BA9" s="36">
        <v>324</v>
      </c>
      <c r="BC9" s="10">
        <v>39</v>
      </c>
      <c r="BD9" s="36">
        <v>57</v>
      </c>
      <c r="BF9" s="10">
        <f t="shared" ref="BF9:BF13" si="2">IF($BA$6=1,AZ9,IF($BA$6=2,BC9))</f>
        <v>4</v>
      </c>
      <c r="BG9" s="10">
        <f t="shared" ref="BG9:BG13" si="3">IF($BA$6=1,BA9,IF($BA$6=2,BD9))</f>
        <v>324</v>
      </c>
      <c r="BK9" s="10" t="s">
        <v>34</v>
      </c>
      <c r="BL9" s="36">
        <v>1167</v>
      </c>
      <c r="BN9" s="31">
        <v>42.69</v>
      </c>
      <c r="BR9" s="34" t="s">
        <v>35</v>
      </c>
      <c r="BS9" s="37">
        <v>1554</v>
      </c>
    </row>
    <row r="10" spans="1:89">
      <c r="AH10" t="s">
        <v>36</v>
      </c>
      <c r="AL10" s="10" t="s">
        <v>37</v>
      </c>
      <c r="AM10" s="36">
        <v>741</v>
      </c>
      <c r="AN10" s="10" t="str" cm="1">
        <f t="array" ref="AN10">IFERROR(_xlfn.IFS(AM10=$AP$7,AM10,AM10=$AP$8,AM10,AM10=$AP$9,AM10),"")</f>
        <v/>
      </c>
      <c r="AZ10" s="10">
        <v>28</v>
      </c>
      <c r="BA10" s="36">
        <v>295</v>
      </c>
      <c r="BC10" s="10">
        <v>26</v>
      </c>
      <c r="BD10" s="36">
        <v>57</v>
      </c>
      <c r="BF10" s="10">
        <f t="shared" si="2"/>
        <v>28</v>
      </c>
      <c r="BG10" s="10">
        <f t="shared" si="3"/>
        <v>295</v>
      </c>
      <c r="BK10" s="10" t="s">
        <v>38</v>
      </c>
      <c r="BL10" s="36">
        <v>1474</v>
      </c>
      <c r="BR10" s="34" t="s">
        <v>33</v>
      </c>
      <c r="BS10" s="37">
        <v>1633</v>
      </c>
    </row>
    <row r="11" spans="1:89">
      <c r="A11" s="3" t="s">
        <v>39</v>
      </c>
      <c r="B11" s="1" t="s">
        <v>11</v>
      </c>
      <c r="C11" t="s">
        <v>1</v>
      </c>
      <c r="L11" s="1" t="s">
        <v>40</v>
      </c>
      <c r="M11" t="s">
        <v>1</v>
      </c>
      <c r="AH11" s="35">
        <v>200</v>
      </c>
      <c r="AL11" s="10" t="s">
        <v>41</v>
      </c>
      <c r="AM11" s="36">
        <v>659</v>
      </c>
      <c r="AN11" s="10" t="str" cm="1">
        <f t="array" ref="AN11">IFERROR(_xlfn.IFS(AM11=$AP$7,AM11,AM11=$AP$8,AM11,AM11=$AP$9,AM11),"")</f>
        <v/>
      </c>
      <c r="AZ11" s="10">
        <v>27</v>
      </c>
      <c r="BA11" s="36">
        <v>293</v>
      </c>
      <c r="BC11" s="10">
        <v>19</v>
      </c>
      <c r="BD11" s="36">
        <v>69</v>
      </c>
      <c r="BF11" s="10">
        <f t="shared" si="2"/>
        <v>27</v>
      </c>
      <c r="BG11" s="10">
        <f t="shared" si="3"/>
        <v>293</v>
      </c>
      <c r="BK11" s="10" t="s">
        <v>42</v>
      </c>
      <c r="BL11" s="36">
        <v>1281</v>
      </c>
      <c r="BR11" s="34" t="s">
        <v>43</v>
      </c>
      <c r="BS11" s="37">
        <v>589</v>
      </c>
    </row>
    <row r="12" spans="1:89">
      <c r="B12" t="s">
        <v>18</v>
      </c>
      <c r="C12" s="35">
        <v>1322</v>
      </c>
      <c r="G12" s="1" t="s">
        <v>44</v>
      </c>
      <c r="H12" t="s">
        <v>1</v>
      </c>
      <c r="L12" t="s">
        <v>45</v>
      </c>
      <c r="M12" s="35">
        <v>933</v>
      </c>
      <c r="V12" s="9" t="str">
        <f>V6</f>
        <v>Utilization Type</v>
      </c>
      <c r="W12" s="9" t="s">
        <v>46</v>
      </c>
      <c r="X12" s="9" t="s">
        <v>47</v>
      </c>
      <c r="AL12" s="10" t="s">
        <v>48</v>
      </c>
      <c r="AM12" s="36">
        <v>609</v>
      </c>
      <c r="AN12" s="10" t="str" cm="1">
        <f t="array" ref="AN12">IFERROR(_xlfn.IFS(AM12=$AP$7,AM12,AM12=$AP$8,AM12,AM12=$AP$9,AM12),"")</f>
        <v/>
      </c>
      <c r="AZ12" s="10">
        <v>21</v>
      </c>
      <c r="BA12" s="36">
        <v>264</v>
      </c>
      <c r="BC12" s="10">
        <v>14</v>
      </c>
      <c r="BD12" s="36">
        <v>72</v>
      </c>
      <c r="BF12" s="10">
        <f t="shared" si="2"/>
        <v>21</v>
      </c>
      <c r="BG12" s="10">
        <f t="shared" si="3"/>
        <v>264</v>
      </c>
      <c r="BK12" s="10" t="s">
        <v>49</v>
      </c>
      <c r="BL12" s="36">
        <v>1382</v>
      </c>
      <c r="BR12" s="34" t="s">
        <v>50</v>
      </c>
      <c r="BS12" s="37">
        <v>1321</v>
      </c>
    </row>
    <row r="13" spans="1:89">
      <c r="G13" s="5">
        <v>0.87291666666666667</v>
      </c>
      <c r="H13" s="35">
        <v>80</v>
      </c>
      <c r="L13" t="s">
        <v>51</v>
      </c>
      <c r="M13" s="35">
        <v>5654</v>
      </c>
      <c r="V13" s="10" t="str">
        <f t="shared" ref="V13" si="4">V7</f>
        <v>Over Utilized</v>
      </c>
      <c r="W13" s="12">
        <f>W7/SUM($W$7:$W$9)</f>
        <v>0.24096385542168675</v>
      </c>
      <c r="X13" s="15">
        <f>1-W13</f>
        <v>0.75903614457831325</v>
      </c>
      <c r="AL13" s="10" t="s">
        <v>52</v>
      </c>
      <c r="AM13" s="36">
        <v>509</v>
      </c>
      <c r="AN13" s="10" t="str" cm="1">
        <f t="array" ref="AN13">IFERROR(_xlfn.IFS(AM13=$AP$7,AM13,AM13=$AP$8,AM13,AM13=$AP$9,AM13),"")</f>
        <v/>
      </c>
      <c r="AZ13" s="10">
        <v>38</v>
      </c>
      <c r="BA13" s="36">
        <v>263</v>
      </c>
      <c r="BC13" s="10">
        <v>13</v>
      </c>
      <c r="BD13" s="36">
        <v>89</v>
      </c>
      <c r="BF13" s="10">
        <f t="shared" si="2"/>
        <v>38</v>
      </c>
      <c r="BG13" s="10">
        <f t="shared" si="3"/>
        <v>263</v>
      </c>
      <c r="BK13" s="10" t="s">
        <v>53</v>
      </c>
      <c r="BL13" s="36">
        <v>1089</v>
      </c>
      <c r="BR13" s="34" t="s">
        <v>54</v>
      </c>
      <c r="BS13" s="37">
        <v>1011</v>
      </c>
    </row>
    <row r="14" spans="1:89">
      <c r="A14" s="3" t="s">
        <v>55</v>
      </c>
      <c r="B14" s="1" t="s">
        <v>11</v>
      </c>
      <c r="C14" t="s">
        <v>1</v>
      </c>
      <c r="V14" s="10" t="str">
        <f t="shared" ref="V14" si="5">V8</f>
        <v>Under Utilized</v>
      </c>
      <c r="W14" s="12">
        <f>W8/SUM($W$7:$W$9)</f>
        <v>0.3493975903614458</v>
      </c>
      <c r="X14" s="15">
        <f t="shared" ref="X14:X15" si="6">1-W14</f>
        <v>0.6506024096385542</v>
      </c>
      <c r="AL14" s="10" t="s">
        <v>56</v>
      </c>
      <c r="AM14" s="36">
        <v>331</v>
      </c>
      <c r="AN14" s="10" t="str" cm="1">
        <f t="array" ref="AN14">IFERROR(_xlfn.IFS(AM14=$AP$7,AM14,AM14=$AP$8,AM14,AM14=$AP$9,AM14),"")</f>
        <v/>
      </c>
      <c r="AZ14" s="10">
        <v>10</v>
      </c>
      <c r="BA14" s="36">
        <v>262</v>
      </c>
      <c r="BC14" s="10">
        <v>34</v>
      </c>
      <c r="BD14" s="36">
        <v>105</v>
      </c>
      <c r="BK14" s="10" t="s">
        <v>57</v>
      </c>
      <c r="BL14" s="36">
        <v>194</v>
      </c>
      <c r="BR14" s="34" t="s">
        <v>58</v>
      </c>
      <c r="BS14" s="37">
        <v>479</v>
      </c>
    </row>
    <row r="15" spans="1:89">
      <c r="B15" t="s">
        <v>59</v>
      </c>
      <c r="C15" s="35">
        <v>185</v>
      </c>
      <c r="V15" s="10" t="str">
        <f t="shared" ref="V15" si="7">V9</f>
        <v>Well Utilized</v>
      </c>
      <c r="W15" s="12">
        <f>W9/SUM($W$7:$W$9)</f>
        <v>0.40963855421686746</v>
      </c>
      <c r="X15" s="15">
        <f t="shared" si="6"/>
        <v>0.59036144578313254</v>
      </c>
      <c r="AL15" s="10" t="s">
        <v>60</v>
      </c>
      <c r="AM15" s="36">
        <v>206</v>
      </c>
      <c r="AN15" s="10" t="str" cm="1">
        <f t="array" ref="AN15">IFERROR(_xlfn.IFS(AM15=$AP$7,AM15,AM15=$AP$8,AM15,AM15=$AP$9,AM15),"")</f>
        <v/>
      </c>
      <c r="AZ15" s="10">
        <v>20</v>
      </c>
      <c r="BA15" s="36">
        <v>242</v>
      </c>
      <c r="BC15" s="10">
        <v>5</v>
      </c>
      <c r="BD15" s="36">
        <v>107</v>
      </c>
    </row>
    <row r="16" spans="1:89">
      <c r="G16" s="1" t="s">
        <v>44</v>
      </c>
      <c r="H16" t="s">
        <v>1</v>
      </c>
      <c r="L16" s="1" t="s">
        <v>61</v>
      </c>
      <c r="M16" t="s">
        <v>1</v>
      </c>
      <c r="O16" s="9" t="str">
        <f>L16</f>
        <v>Day Name</v>
      </c>
      <c r="P16" s="9" t="str">
        <f>M16</f>
        <v>Total Riders (Passangers)</v>
      </c>
      <c r="Q16" s="9" t="s">
        <v>62</v>
      </c>
      <c r="R16" s="9" t="s">
        <v>63</v>
      </c>
      <c r="X16" s="13"/>
      <c r="AL16" s="10" t="s">
        <v>59</v>
      </c>
      <c r="AM16" s="36">
        <v>185</v>
      </c>
      <c r="AN16" s="10" t="str" cm="1">
        <f t="array" ref="AN16">IFERROR(_xlfn.IFS(AM16=$AP$7,AM16,AM16=$AP$8,AM16,AM16=$AP$9,AM16),"")</f>
        <v/>
      </c>
      <c r="AZ16" s="10">
        <v>33</v>
      </c>
      <c r="BA16" s="36">
        <v>239</v>
      </c>
      <c r="BC16" s="10">
        <v>40</v>
      </c>
      <c r="BD16" s="36">
        <v>110</v>
      </c>
    </row>
    <row r="17" spans="7:65">
      <c r="G17" s="5">
        <v>0.82638888888888884</v>
      </c>
      <c r="H17" s="35">
        <v>15</v>
      </c>
      <c r="L17" t="s">
        <v>64</v>
      </c>
      <c r="M17" s="35">
        <v>796</v>
      </c>
      <c r="O17" s="10" t="str">
        <f t="shared" ref="O17:O23" si="8">L17</f>
        <v>Sat</v>
      </c>
      <c r="P17" s="10">
        <f t="shared" ref="P17:P23" si="9">M17</f>
        <v>796</v>
      </c>
      <c r="Q17" s="10">
        <f>AVERAGE($P$17:$P$23)</f>
        <v>941</v>
      </c>
      <c r="R17" s="10" t="str">
        <f>IF(P17&gt;Q17,P17,"")</f>
        <v/>
      </c>
      <c r="AZ17" s="10">
        <v>37</v>
      </c>
      <c r="BA17" s="36">
        <v>216</v>
      </c>
      <c r="BC17" s="10">
        <v>15</v>
      </c>
      <c r="BD17" s="36">
        <v>110</v>
      </c>
      <c r="BK17" s="9" t="str">
        <f>BK8</f>
        <v>Age Group</v>
      </c>
      <c r="BL17" s="9" t="str">
        <f>BL8</f>
        <v>Sum of NumberOfRiders</v>
      </c>
      <c r="BM17" s="9" t="s">
        <v>12</v>
      </c>
    </row>
    <row r="18" spans="7:65">
      <c r="L18" t="s">
        <v>65</v>
      </c>
      <c r="M18" s="35">
        <v>1185</v>
      </c>
      <c r="O18" s="10" t="str">
        <f t="shared" si="8"/>
        <v>Sun</v>
      </c>
      <c r="P18" s="10">
        <f t="shared" si="9"/>
        <v>1185</v>
      </c>
      <c r="Q18" s="10">
        <f t="shared" ref="Q18:Q23" si="10">AVERAGE($P$17:$P$23)</f>
        <v>941</v>
      </c>
      <c r="R18" s="10">
        <f t="shared" ref="R18:R23" si="11">IF(P18&gt;Q18,P18,"")</f>
        <v>1185</v>
      </c>
      <c r="AZ18" s="10">
        <v>3</v>
      </c>
      <c r="BA18" s="36">
        <v>216</v>
      </c>
      <c r="BC18" s="10">
        <v>23</v>
      </c>
      <c r="BD18" s="36">
        <v>118</v>
      </c>
      <c r="BK18" s="10" t="str">
        <f t="shared" ref="BK18:BL18" si="12">BK9</f>
        <v>18-30</v>
      </c>
      <c r="BL18" s="10">
        <f t="shared" si="12"/>
        <v>1167</v>
      </c>
      <c r="BM18" s="10" t="str">
        <f>IF(BL18=MAX($BL$18:$BL$23),BL18,"")</f>
        <v/>
      </c>
    </row>
    <row r="19" spans="7:65">
      <c r="L19" t="s">
        <v>66</v>
      </c>
      <c r="M19" s="35">
        <v>1085</v>
      </c>
      <c r="O19" s="10" t="str">
        <f t="shared" si="8"/>
        <v>Mon</v>
      </c>
      <c r="P19" s="10">
        <f t="shared" si="9"/>
        <v>1085</v>
      </c>
      <c r="Q19" s="10">
        <f t="shared" si="10"/>
        <v>941</v>
      </c>
      <c r="R19" s="10">
        <f t="shared" si="11"/>
        <v>1085</v>
      </c>
      <c r="AL19" s="9" t="str">
        <f>AL6</f>
        <v>RouteName</v>
      </c>
      <c r="AM19" s="9" t="str">
        <f>AM6</f>
        <v>Sum of NumberOfRiders</v>
      </c>
      <c r="AN19" s="9" t="str">
        <f>AN6</f>
        <v>Highlight</v>
      </c>
      <c r="AZ19" s="10">
        <v>18</v>
      </c>
      <c r="BA19" s="36">
        <v>205</v>
      </c>
      <c r="BC19" s="10">
        <v>35</v>
      </c>
      <c r="BD19" s="36">
        <v>120</v>
      </c>
      <c r="BK19" s="10" t="str">
        <f t="shared" ref="BK19:BL19" si="13">BK10</f>
        <v>30-40</v>
      </c>
      <c r="BL19" s="10">
        <f t="shared" si="13"/>
        <v>1474</v>
      </c>
      <c r="BM19" s="10">
        <f t="shared" ref="BM19:BM23" si="14">IF(BL19=MAX($BL$18:$BL$23),BL19,"")</f>
        <v>1474</v>
      </c>
    </row>
    <row r="20" spans="7:65">
      <c r="L20" t="s">
        <v>67</v>
      </c>
      <c r="M20" s="35">
        <v>983</v>
      </c>
      <c r="O20" s="10" t="str">
        <f t="shared" si="8"/>
        <v>Tue</v>
      </c>
      <c r="P20" s="10">
        <f t="shared" si="9"/>
        <v>983</v>
      </c>
      <c r="Q20" s="10">
        <f t="shared" si="10"/>
        <v>941</v>
      </c>
      <c r="R20" s="10">
        <f t="shared" si="11"/>
        <v>983</v>
      </c>
      <c r="AL20" s="10" t="str">
        <f t="shared" ref="AL20:AN20" si="15">AL7</f>
        <v>East-West Express</v>
      </c>
      <c r="AM20" s="10">
        <f t="shared" si="15"/>
        <v>1322</v>
      </c>
      <c r="AN20" s="10">
        <f t="shared" si="15"/>
        <v>1322</v>
      </c>
      <c r="AZ20" s="10">
        <v>7</v>
      </c>
      <c r="BA20" s="36">
        <v>200</v>
      </c>
      <c r="BC20" s="10">
        <v>36</v>
      </c>
      <c r="BD20" s="36">
        <v>123</v>
      </c>
      <c r="BK20" s="10" t="str">
        <f t="shared" ref="BK20:BL20" si="16">BK11</f>
        <v>40-50</v>
      </c>
      <c r="BL20" s="10">
        <f t="shared" si="16"/>
        <v>1281</v>
      </c>
      <c r="BM20" s="10" t="str">
        <f t="shared" si="14"/>
        <v/>
      </c>
    </row>
    <row r="21" spans="7:65">
      <c r="L21" t="s">
        <v>68</v>
      </c>
      <c r="M21" s="35">
        <v>887</v>
      </c>
      <c r="O21" s="10" t="str">
        <f t="shared" si="8"/>
        <v>Wed</v>
      </c>
      <c r="P21" s="10">
        <f t="shared" si="9"/>
        <v>887</v>
      </c>
      <c r="Q21" s="10">
        <f t="shared" si="10"/>
        <v>941</v>
      </c>
      <c r="R21" s="10" t="str">
        <f t="shared" si="11"/>
        <v/>
      </c>
      <c r="AL21" s="10" t="str">
        <f t="shared" ref="AL21:AN21" si="17">AL8</f>
        <v>Central Line</v>
      </c>
      <c r="AM21" s="10">
        <f t="shared" si="17"/>
        <v>1271</v>
      </c>
      <c r="AN21" s="10">
        <f t="shared" si="17"/>
        <v>1271</v>
      </c>
      <c r="AZ21" s="10">
        <v>25</v>
      </c>
      <c r="BA21" s="36">
        <v>197</v>
      </c>
      <c r="BC21" s="10">
        <v>29</v>
      </c>
      <c r="BD21" s="36">
        <v>127</v>
      </c>
      <c r="BK21" s="10" t="str">
        <f t="shared" ref="BK21:BL21" si="18">BK12</f>
        <v>50-60</v>
      </c>
      <c r="BL21" s="10">
        <f t="shared" si="18"/>
        <v>1382</v>
      </c>
      <c r="BM21" s="10" t="str">
        <f t="shared" si="14"/>
        <v/>
      </c>
    </row>
    <row r="22" spans="7:65">
      <c r="L22" t="s">
        <v>69</v>
      </c>
      <c r="M22" s="35">
        <v>889</v>
      </c>
      <c r="O22" s="10" t="str">
        <f t="shared" si="8"/>
        <v>Thu</v>
      </c>
      <c r="P22" s="10">
        <f t="shared" si="9"/>
        <v>889</v>
      </c>
      <c r="Q22" s="10">
        <f t="shared" si="10"/>
        <v>941</v>
      </c>
      <c r="R22" s="10" t="str">
        <f t="shared" si="11"/>
        <v/>
      </c>
      <c r="AL22" s="10" t="str">
        <f t="shared" ref="AL22:AN22" si="19">AL9</f>
        <v>Airport Express</v>
      </c>
      <c r="AM22" s="10">
        <f t="shared" si="19"/>
        <v>754</v>
      </c>
      <c r="AN22" s="10">
        <f t="shared" si="19"/>
        <v>754</v>
      </c>
      <c r="AZ22" s="10">
        <v>30</v>
      </c>
      <c r="BA22" s="36">
        <v>185</v>
      </c>
      <c r="BC22" s="10">
        <v>24</v>
      </c>
      <c r="BD22" s="36">
        <v>128</v>
      </c>
      <c r="BK22" s="10" t="str">
        <f t="shared" ref="BK22:BL22" si="20">BK13</f>
        <v>60 Plus</v>
      </c>
      <c r="BL22" s="10">
        <f t="shared" si="20"/>
        <v>1089</v>
      </c>
      <c r="BM22" s="10" t="str">
        <f t="shared" si="14"/>
        <v/>
      </c>
    </row>
    <row r="23" spans="7:65">
      <c r="L23" t="s">
        <v>70</v>
      </c>
      <c r="M23" s="35">
        <v>762</v>
      </c>
      <c r="O23" s="10" t="str">
        <f t="shared" si="8"/>
        <v>Fri</v>
      </c>
      <c r="P23" s="10">
        <f t="shared" si="9"/>
        <v>762</v>
      </c>
      <c r="Q23" s="10">
        <f t="shared" si="10"/>
        <v>941</v>
      </c>
      <c r="R23" s="10" t="str">
        <f t="shared" si="11"/>
        <v/>
      </c>
      <c r="AL23" s="10" t="str">
        <f t="shared" ref="AL23:AN23" si="21">AL10</f>
        <v>University Line</v>
      </c>
      <c r="AM23" s="10">
        <f t="shared" si="21"/>
        <v>741</v>
      </c>
      <c r="AN23" s="10" t="str">
        <f t="shared" si="21"/>
        <v/>
      </c>
      <c r="AZ23" s="10">
        <v>17</v>
      </c>
      <c r="BA23" s="36">
        <v>176</v>
      </c>
      <c r="BC23" s="10">
        <v>6</v>
      </c>
      <c r="BD23" s="36">
        <v>128</v>
      </c>
      <c r="BK23" s="10" t="str">
        <f t="shared" ref="BK23:BL23" si="22">BK14</f>
        <v>Under 18</v>
      </c>
      <c r="BL23" s="10">
        <f t="shared" si="22"/>
        <v>194</v>
      </c>
      <c r="BM23" s="10" t="str">
        <f t="shared" si="14"/>
        <v/>
      </c>
    </row>
    <row r="24" spans="7:65">
      <c r="AL24" s="10" t="str">
        <f t="shared" ref="AL24:AN24" si="23">AL11</f>
        <v>Suburban Line</v>
      </c>
      <c r="AM24" s="10">
        <f t="shared" si="23"/>
        <v>659</v>
      </c>
      <c r="AN24" s="10" t="str">
        <f t="shared" si="23"/>
        <v/>
      </c>
      <c r="AZ24" s="10">
        <v>9</v>
      </c>
      <c r="BA24" s="36">
        <v>173</v>
      </c>
      <c r="BC24" s="10">
        <v>1</v>
      </c>
      <c r="BD24" s="36">
        <v>129</v>
      </c>
    </row>
    <row r="25" spans="7:65">
      <c r="AL25" s="10" t="str">
        <f t="shared" ref="AL25:AN25" si="24">AL12</f>
        <v>Market Line</v>
      </c>
      <c r="AM25" s="10">
        <f t="shared" si="24"/>
        <v>609</v>
      </c>
      <c r="AN25" s="10" t="str">
        <f t="shared" si="24"/>
        <v/>
      </c>
      <c r="AZ25" s="10">
        <v>22</v>
      </c>
      <c r="BA25" s="36">
        <v>169</v>
      </c>
      <c r="BC25" s="10">
        <v>16</v>
      </c>
      <c r="BD25" s="36">
        <v>130</v>
      </c>
    </row>
    <row r="26" spans="7:65">
      <c r="Q26" s="8" t="s">
        <v>71</v>
      </c>
      <c r="R26" s="11">
        <f>SUM(R17:R23)/SUM(P17:P23)</f>
        <v>0.4938515257325034</v>
      </c>
      <c r="AL26" s="10" t="str">
        <f t="shared" ref="AL26:AN26" si="25">AL13</f>
        <v>City Shuttle</v>
      </c>
      <c r="AM26" s="10">
        <f t="shared" si="25"/>
        <v>509</v>
      </c>
      <c r="AN26" s="10" t="str">
        <f t="shared" si="25"/>
        <v/>
      </c>
      <c r="AZ26" s="10">
        <v>31</v>
      </c>
      <c r="BA26" s="36">
        <v>164</v>
      </c>
      <c r="BC26" s="10">
        <v>11</v>
      </c>
      <c r="BD26" s="36">
        <v>134</v>
      </c>
    </row>
    <row r="27" spans="7:65">
      <c r="AL27" s="10" t="str">
        <f t="shared" ref="AL27:AN27" si="26">AL14</f>
        <v>Beachfront Route</v>
      </c>
      <c r="AM27" s="10">
        <f t="shared" si="26"/>
        <v>331</v>
      </c>
      <c r="AN27" s="10" t="str">
        <f t="shared" si="26"/>
        <v/>
      </c>
      <c r="AZ27" s="10">
        <v>2</v>
      </c>
      <c r="BA27" s="36">
        <v>150</v>
      </c>
      <c r="BC27" s="10">
        <v>8</v>
      </c>
      <c r="BD27" s="36">
        <v>144</v>
      </c>
    </row>
    <row r="28" spans="7:65">
      <c r="Q28" t="str">
        <f>"Highlighted Area Contributes to "</f>
        <v xml:space="preserve">Highlighted Area Contributes to </v>
      </c>
      <c r="AL28" s="10" t="str">
        <f t="shared" ref="AL28:AN28" si="27">AL15</f>
        <v>North Circular</v>
      </c>
      <c r="AM28" s="10">
        <f t="shared" si="27"/>
        <v>206</v>
      </c>
      <c r="AN28" s="10" t="str">
        <f t="shared" si="27"/>
        <v/>
      </c>
      <c r="AZ28" s="10">
        <v>12</v>
      </c>
      <c r="BA28" s="36">
        <v>149</v>
      </c>
      <c r="BC28" s="10">
        <v>32</v>
      </c>
      <c r="BD28" s="36">
        <v>148</v>
      </c>
    </row>
    <row r="29" spans="7:65">
      <c r="Q29" t="str">
        <f>" of Total Riders"</f>
        <v xml:space="preserve"> of Total Riders</v>
      </c>
      <c r="AL29" s="10" t="str">
        <f t="shared" ref="AL29:AN29" si="28">AL16</f>
        <v>South Line</v>
      </c>
      <c r="AM29" s="10">
        <f t="shared" si="28"/>
        <v>185</v>
      </c>
      <c r="AN29" s="10" t="str">
        <f t="shared" si="28"/>
        <v/>
      </c>
      <c r="AZ29" s="10">
        <v>32</v>
      </c>
      <c r="BA29" s="36">
        <v>148</v>
      </c>
      <c r="BC29" s="10">
        <v>12</v>
      </c>
      <c r="BD29" s="36">
        <v>149</v>
      </c>
    </row>
    <row r="30" spans="7:65">
      <c r="AZ30" s="10">
        <v>8</v>
      </c>
      <c r="BA30" s="36">
        <v>144</v>
      </c>
      <c r="BC30" s="10">
        <v>2</v>
      </c>
      <c r="BD30" s="36">
        <v>150</v>
      </c>
    </row>
    <row r="31" spans="7:65">
      <c r="AN31" s="27">
        <f>SUM($AN$20:$AN$29)/SUM(AM20:AM29)</f>
        <v>0.50812205860027326</v>
      </c>
      <c r="AZ31" s="10">
        <v>11</v>
      </c>
      <c r="BA31" s="36">
        <v>134</v>
      </c>
      <c r="BC31" s="10">
        <v>31</v>
      </c>
      <c r="BD31" s="36">
        <v>164</v>
      </c>
    </row>
    <row r="32" spans="7:65">
      <c r="AZ32" s="10">
        <v>16</v>
      </c>
      <c r="BA32" s="36">
        <v>130</v>
      </c>
      <c r="BC32" s="10">
        <v>22</v>
      </c>
      <c r="BD32" s="36">
        <v>169</v>
      </c>
    </row>
    <row r="33" spans="52:56">
      <c r="AZ33" s="10">
        <v>1</v>
      </c>
      <c r="BA33" s="36">
        <v>129</v>
      </c>
      <c r="BC33" s="10">
        <v>9</v>
      </c>
      <c r="BD33" s="36">
        <v>173</v>
      </c>
    </row>
    <row r="34" spans="52:56">
      <c r="AZ34" s="10">
        <v>6</v>
      </c>
      <c r="BA34" s="36">
        <v>128</v>
      </c>
      <c r="BC34" s="10">
        <v>17</v>
      </c>
      <c r="BD34" s="36">
        <v>176</v>
      </c>
    </row>
    <row r="35" spans="52:56">
      <c r="AZ35" s="10">
        <v>24</v>
      </c>
      <c r="BA35" s="36">
        <v>128</v>
      </c>
      <c r="BC35" s="10">
        <v>30</v>
      </c>
      <c r="BD35" s="36">
        <v>185</v>
      </c>
    </row>
    <row r="36" spans="52:56">
      <c r="AZ36" s="10">
        <v>29</v>
      </c>
      <c r="BA36" s="36">
        <v>127</v>
      </c>
      <c r="BC36" s="10">
        <v>25</v>
      </c>
      <c r="BD36" s="36">
        <v>197</v>
      </c>
    </row>
    <row r="37" spans="52:56">
      <c r="AZ37" s="10">
        <v>36</v>
      </c>
      <c r="BA37" s="36">
        <v>123</v>
      </c>
      <c r="BC37" s="10">
        <v>7</v>
      </c>
      <c r="BD37" s="36">
        <v>200</v>
      </c>
    </row>
    <row r="38" spans="52:56">
      <c r="AZ38" s="10">
        <v>35</v>
      </c>
      <c r="BA38" s="36">
        <v>120</v>
      </c>
      <c r="BC38" s="10">
        <v>18</v>
      </c>
      <c r="BD38" s="36">
        <v>205</v>
      </c>
    </row>
    <row r="39" spans="52:56">
      <c r="AZ39" s="10">
        <v>23</v>
      </c>
      <c r="BA39" s="36">
        <v>118</v>
      </c>
      <c r="BC39" s="10">
        <v>37</v>
      </c>
      <c r="BD39" s="36">
        <v>216</v>
      </c>
    </row>
    <row r="40" spans="52:56">
      <c r="AZ40" s="10">
        <v>15</v>
      </c>
      <c r="BA40" s="36">
        <v>110</v>
      </c>
      <c r="BC40" s="10">
        <v>3</v>
      </c>
      <c r="BD40" s="36">
        <v>216</v>
      </c>
    </row>
    <row r="41" spans="52:56">
      <c r="AZ41" s="10">
        <v>40</v>
      </c>
      <c r="BA41" s="36">
        <v>110</v>
      </c>
      <c r="BC41" s="10">
        <v>33</v>
      </c>
      <c r="BD41" s="36">
        <v>239</v>
      </c>
    </row>
    <row r="42" spans="52:56">
      <c r="AZ42" s="10">
        <v>5</v>
      </c>
      <c r="BA42" s="36">
        <v>107</v>
      </c>
      <c r="BC42" s="10">
        <v>20</v>
      </c>
      <c r="BD42" s="36">
        <v>242</v>
      </c>
    </row>
    <row r="43" spans="52:56">
      <c r="AZ43" s="10">
        <v>34</v>
      </c>
      <c r="BA43" s="36">
        <v>105</v>
      </c>
      <c r="BC43" s="10">
        <v>10</v>
      </c>
      <c r="BD43" s="36">
        <v>262</v>
      </c>
    </row>
    <row r="44" spans="52:56">
      <c r="AZ44" s="10">
        <v>13</v>
      </c>
      <c r="BA44" s="36">
        <v>89</v>
      </c>
      <c r="BC44" s="10">
        <v>38</v>
      </c>
      <c r="BD44" s="36">
        <v>263</v>
      </c>
    </row>
    <row r="45" spans="52:56">
      <c r="AZ45" s="10">
        <v>14</v>
      </c>
      <c r="BA45" s="36">
        <v>72</v>
      </c>
      <c r="BC45" s="10">
        <v>21</v>
      </c>
      <c r="BD45" s="36">
        <v>264</v>
      </c>
    </row>
    <row r="46" spans="52:56">
      <c r="AZ46" s="10">
        <v>19</v>
      </c>
      <c r="BA46" s="36">
        <v>69</v>
      </c>
      <c r="BC46" s="10">
        <v>27</v>
      </c>
      <c r="BD46" s="36">
        <v>293</v>
      </c>
    </row>
    <row r="47" spans="52:56">
      <c r="AZ47" s="10">
        <v>26</v>
      </c>
      <c r="BA47" s="36">
        <v>57</v>
      </c>
      <c r="BC47" s="10">
        <v>28</v>
      </c>
      <c r="BD47" s="36">
        <v>295</v>
      </c>
    </row>
    <row r="48" spans="52:56">
      <c r="AZ48" s="10">
        <v>39</v>
      </c>
      <c r="BA48" s="36">
        <v>57</v>
      </c>
      <c r="BC48" s="10">
        <v>4</v>
      </c>
      <c r="BD48" s="36">
        <v>324</v>
      </c>
    </row>
  </sheetData>
  <mergeCells count="1">
    <mergeCell ref="BF7:BG7"/>
  </mergeCells>
  <phoneticPr fontId="6"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969A2-91D1-4675-BBF4-C57C7BADBF84}">
  <dimension ref="A1"/>
  <sheetViews>
    <sheetView showGridLines="0" showRowColHeaders="0" workbookViewId="0"/>
  </sheetViews>
  <sheetFormatPr defaultColWidth="9" defaultRowHeight="14.25"/>
  <cols>
    <col min="1" max="16384" width="9" style="4"/>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31F6F-31D3-4FCC-9D14-6F6D90C26B8F}">
  <dimension ref="A1"/>
  <sheetViews>
    <sheetView showGridLines="0" showRowColHeaders="0" tabSelected="1" workbookViewId="0">
      <selection activeCell="B2" sqref="B2"/>
    </sheetView>
  </sheetViews>
  <sheetFormatPr defaultColWidth="9" defaultRowHeight="14.25"/>
  <cols>
    <col min="1" max="16384" width="9" style="4"/>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Option Button 1">
              <controlPr defaultSize="0" autoFill="0" autoLine="0" autoPict="0">
                <anchor moveWithCells="1">
                  <from>
                    <xdr:col>12</xdr:col>
                    <xdr:colOff>28575</xdr:colOff>
                    <xdr:row>9</xdr:row>
                    <xdr:rowOff>71438</xdr:rowOff>
                  </from>
                  <to>
                    <xdr:col>12</xdr:col>
                    <xdr:colOff>576263</xdr:colOff>
                    <xdr:row>10</xdr:row>
                    <xdr:rowOff>104775</xdr:rowOff>
                  </to>
                </anchor>
              </controlPr>
            </control>
          </mc:Choice>
        </mc:AlternateContent>
        <mc:AlternateContent xmlns:mc="http://schemas.openxmlformats.org/markup-compatibility/2006">
          <mc:Choice Requires="x14">
            <control shapeId="2050" r:id="rId4" name="Option Button 2">
              <controlPr defaultSize="0" autoFill="0" autoLine="0" autoPict="0">
                <anchor moveWithCells="1">
                  <from>
                    <xdr:col>13</xdr:col>
                    <xdr:colOff>233363</xdr:colOff>
                    <xdr:row>9</xdr:row>
                    <xdr:rowOff>71438</xdr:rowOff>
                  </from>
                  <to>
                    <xdr:col>14</xdr:col>
                    <xdr:colOff>133350</xdr:colOff>
                    <xdr:row>10</xdr:row>
                    <xdr:rowOff>104775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Props1.xml><?xml version="1.0" encoding="utf-8"?>
<ds:datastoreItem xmlns:ds="http://schemas.openxmlformats.org/officeDocument/2006/customXml" ds:itemID="{2DF0A885-EB23-493B-B6CF-9D8020590A88}"/>
</file>

<file path=customXml/itemProps2.xml><?xml version="1.0" encoding="utf-8"?>
<ds:datastoreItem xmlns:ds="http://schemas.openxmlformats.org/officeDocument/2006/customXml" ds:itemID="{008CD246-8E7C-4CC1-BF90-9DBC34AAB730}"/>
</file>

<file path=customXml/itemProps3.xml><?xml version="1.0" encoding="utf-8"?>
<ds:datastoreItem xmlns:ds="http://schemas.openxmlformats.org/officeDocument/2006/customXml" ds:itemID="{A6BCFADD-E681-48AE-8867-9EC845B4B40B}"/>
</file>

<file path=customXml/itemProps4.xml><?xml version="1.0" encoding="utf-8"?>
<ds:datastoreItem xmlns:ds="http://schemas.openxmlformats.org/officeDocument/2006/customXml" ds:itemID="{3EB75A03-9122-4E5C-BAE6-A6CAB48EC69B}"/>
</file>

<file path=customXml/itemProps5.xml><?xml version="1.0" encoding="utf-8"?>
<ds:datastoreItem xmlns:ds="http://schemas.openxmlformats.org/officeDocument/2006/customXml" ds:itemID="{DC0F58BA-B8D2-4392-9303-75A1CBC389ED}"/>
</file>

<file path=customXml/itemProps6.xml><?xml version="1.0" encoding="utf-8"?>
<ds:datastoreItem xmlns:ds="http://schemas.openxmlformats.org/officeDocument/2006/customXml" ds:itemID="{3904AB12-A602-4403-A1B3-1C7BEFF4E27E}"/>
</file>

<file path=customXml/itemProps7.xml><?xml version="1.0" encoding="utf-8"?>
<ds:datastoreItem xmlns:ds="http://schemas.openxmlformats.org/officeDocument/2006/customXml" ds:itemID="{EFB504CC-CC25-4564-9E88-733D1730B6C8}"/>
</file>

<file path=customXml/itemProps8.xml><?xml version="1.0" encoding="utf-8"?>
<ds:datastoreItem xmlns:ds="http://schemas.openxmlformats.org/officeDocument/2006/customXml" ds:itemID="{85A29846-22E5-4B8D-90E8-A51A90A82601}"/>
</file>

<file path=customXml/itemProps9.xml><?xml version="1.0" encoding="utf-8"?>
<ds:datastoreItem xmlns:ds="http://schemas.openxmlformats.org/officeDocument/2006/customXml" ds:itemID="{B0020FD6-FB86-438C-B09A-3114695161A1}"/>
</file>

<file path=customXml/itemProps10.xml><?xml version="1.0" encoding="utf-8"?>
<ds:datastoreItem xmlns:ds="http://schemas.openxmlformats.org/officeDocument/2006/customXml" ds:itemID="{E49E71F5-1554-43F4-BFF6-D38F7B6627E5}"/>
</file>

<file path=customXml/itemProps11.xml><?xml version="1.0" encoding="utf-8"?>
<ds:datastoreItem xmlns:ds="http://schemas.openxmlformats.org/officeDocument/2006/customXml" ds:itemID="{5A6EBED8-EB4D-42A0-906D-1C3EA2768017}"/>
</file>

<file path=customXml/itemProps12.xml><?xml version="1.0" encoding="utf-8"?>
<ds:datastoreItem xmlns:ds="http://schemas.openxmlformats.org/officeDocument/2006/customXml" ds:itemID="{2DD9B0FB-5C3C-43F7-8D34-FF473BABBFB7}"/>
</file>

<file path=customXml/itemProps13.xml><?xml version="1.0" encoding="utf-8"?>
<ds:datastoreItem xmlns:ds="http://schemas.openxmlformats.org/officeDocument/2006/customXml" ds:itemID="{4E9C4C50-8FB1-4BDE-8A7D-A36AD9C19057}"/>
</file>

<file path=customXml/itemProps14.xml><?xml version="1.0" encoding="utf-8"?>
<ds:datastoreItem xmlns:ds="http://schemas.openxmlformats.org/officeDocument/2006/customXml" ds:itemID="{B97738C3-AC20-4C5A-BB34-C88CCC9DDD0B}"/>
</file>

<file path=customXml/itemProps15.xml><?xml version="1.0" encoding="utf-8"?>
<ds:datastoreItem xmlns:ds="http://schemas.openxmlformats.org/officeDocument/2006/customXml" ds:itemID="{7FD7419C-36FF-4A35-9C1B-CFBE6897E63D}"/>
</file>

<file path=customXml/itemProps16.xml><?xml version="1.0" encoding="utf-8"?>
<ds:datastoreItem xmlns:ds="http://schemas.openxmlformats.org/officeDocument/2006/customXml" ds:itemID="{DBAF6E3B-2655-43C4-B57A-B094FE108172}"/>
</file>

<file path=customXml/itemProps17.xml><?xml version="1.0" encoding="utf-8"?>
<ds:datastoreItem xmlns:ds="http://schemas.openxmlformats.org/officeDocument/2006/customXml" ds:itemID="{6E8968A2-071F-41CB-8EAA-F9C19A8F0EB4}"/>
</file>

<file path=customXml/itemProps18.xml><?xml version="1.0" encoding="utf-8"?>
<ds:datastoreItem xmlns:ds="http://schemas.openxmlformats.org/officeDocument/2006/customXml" ds:itemID="{6F27D815-9F5A-43B7-9B87-A619FA1D2DF9}"/>
</file>

<file path=customXml/itemProps19.xml><?xml version="1.0" encoding="utf-8"?>
<ds:datastoreItem xmlns:ds="http://schemas.openxmlformats.org/officeDocument/2006/customXml" ds:itemID="{F8FF8EB5-87ED-4A2F-A5AF-918549B1166B}"/>
</file>

<file path=customXml/itemProps20.xml><?xml version="1.0" encoding="utf-8"?>
<ds:datastoreItem xmlns:ds="http://schemas.openxmlformats.org/officeDocument/2006/customXml" ds:itemID="{24104903-CF23-4FCC-BB68-9C53C25A0489}"/>
</file>

<file path=customXml/itemProps21.xml><?xml version="1.0" encoding="utf-8"?>
<ds:datastoreItem xmlns:ds="http://schemas.openxmlformats.org/officeDocument/2006/customXml" ds:itemID="{5D8AB8DD-5696-46F3-AACC-B06CA243C817}"/>
</file>

<file path=customXml/itemProps22.xml><?xml version="1.0" encoding="utf-8"?>
<ds:datastoreItem xmlns:ds="http://schemas.openxmlformats.org/officeDocument/2006/customXml" ds:itemID="{14A79A6B-A067-45DD-ADA6-0463A2E50CC3}"/>
</file>

<file path=customXml/itemProps23.xml><?xml version="1.0" encoding="utf-8"?>
<ds:datastoreItem xmlns:ds="http://schemas.openxmlformats.org/officeDocument/2006/customXml" ds:itemID="{C7328071-FED6-4715-B492-03E7A780E522}"/>
</file>

<file path=customXml/itemProps24.xml><?xml version="1.0" encoding="utf-8"?>
<ds:datastoreItem xmlns:ds="http://schemas.openxmlformats.org/officeDocument/2006/customXml" ds:itemID="{8FA7D4A8-83BA-4468-A93E-1FF93D14CF86}"/>
</file>

<file path=customXml/itemProps25.xml><?xml version="1.0" encoding="utf-8"?>
<ds:datastoreItem xmlns:ds="http://schemas.openxmlformats.org/officeDocument/2006/customXml" ds:itemID="{F61DCF8C-9072-4E6F-A238-B14583B31310}"/>
</file>

<file path=customXml/itemProps26.xml><?xml version="1.0" encoding="utf-8"?>
<ds:datastoreItem xmlns:ds="http://schemas.openxmlformats.org/officeDocument/2006/customXml" ds:itemID="{2672B7D1-EE2E-4D14-99AC-9A9B4B1A3A65}"/>
</file>

<file path=customXml/itemProps27.xml><?xml version="1.0" encoding="utf-8"?>
<ds:datastoreItem xmlns:ds="http://schemas.openxmlformats.org/officeDocument/2006/customXml" ds:itemID="{110B41C4-BA25-4C11-A314-B5274543B945}"/>
</file>

<file path=customXml/itemProps28.xml><?xml version="1.0" encoding="utf-8"?>
<ds:datastoreItem xmlns:ds="http://schemas.openxmlformats.org/officeDocument/2006/customXml" ds:itemID="{28AA053C-3ADB-4074-A8D1-652041FD327A}"/>
</file>

<file path=customXml/itemProps29.xml><?xml version="1.0" encoding="utf-8"?>
<ds:datastoreItem xmlns:ds="http://schemas.openxmlformats.org/officeDocument/2006/customXml" ds:itemID="{4E6A8078-0137-474F-AB63-FD4EE433BC11}"/>
</file>

<file path=customXml/itemProps30.xml><?xml version="1.0" encoding="utf-8"?>
<ds:datastoreItem xmlns:ds="http://schemas.openxmlformats.org/officeDocument/2006/customXml" ds:itemID="{94E196EE-1991-4A1B-B7BF-A43A9AF267B9}"/>
</file>

<file path=customXml/itemProps31.xml><?xml version="1.0" encoding="utf-8"?>
<ds:datastoreItem xmlns:ds="http://schemas.openxmlformats.org/officeDocument/2006/customXml" ds:itemID="{E83E9FA6-3FBF-44C8-B202-DB143569BFBD}"/>
</file>

<file path=customXml/itemProps32.xml><?xml version="1.0" encoding="utf-8"?>
<ds:datastoreItem xmlns:ds="http://schemas.openxmlformats.org/officeDocument/2006/customXml" ds:itemID="{646606F5-0DAE-49DA-9966-5C2E61C0CC92}"/>
</file>

<file path=customXml/itemProps33.xml><?xml version="1.0" encoding="utf-8"?>
<ds:datastoreItem xmlns:ds="http://schemas.openxmlformats.org/officeDocument/2006/customXml" ds:itemID="{8416E526-843B-4245-826A-0E5D0DE57321}"/>
</file>

<file path=customXml/itemProps34.xml><?xml version="1.0" encoding="utf-8"?>
<ds:datastoreItem xmlns:ds="http://schemas.openxmlformats.org/officeDocument/2006/customXml" ds:itemID="{73F638D0-E245-4F60-868D-0D760F71E8D5}"/>
</file>

<file path=customXml/itemProps35.xml><?xml version="1.0" encoding="utf-8"?>
<ds:datastoreItem xmlns:ds="http://schemas.openxmlformats.org/officeDocument/2006/customXml" ds:itemID="{C993E148-4CD9-4459-BA23-414504B1C9FC}"/>
</file>

<file path=customXml/itemProps36.xml><?xml version="1.0" encoding="utf-8"?>
<ds:datastoreItem xmlns:ds="http://schemas.openxmlformats.org/officeDocument/2006/customXml" ds:itemID="{36BFCE5A-F5A5-4D56-8D2C-4BA3560A3D64}"/>
</file>

<file path=customXml/itemProps37.xml><?xml version="1.0" encoding="utf-8"?>
<ds:datastoreItem xmlns:ds="http://schemas.openxmlformats.org/officeDocument/2006/customXml" ds:itemID="{F5E7EF2E-2F09-49AB-AFFC-7657909E94C3}"/>
</file>

<file path=customXml/itemProps38.xml><?xml version="1.0" encoding="utf-8"?>
<ds:datastoreItem xmlns:ds="http://schemas.openxmlformats.org/officeDocument/2006/customXml" ds:itemID="{C39F018A-13B5-4C51-9D0E-E552E0B2571F}"/>
</file>

<file path=customXml/itemProps39.xml><?xml version="1.0" encoding="utf-8"?>
<ds:datastoreItem xmlns:ds="http://schemas.openxmlformats.org/officeDocument/2006/customXml" ds:itemID="{53BAE49C-F159-4E05-9A49-BF70C82CF6C3}"/>
</file>

<file path=customXml/itemProps40.xml><?xml version="1.0" encoding="utf-8"?>
<ds:datastoreItem xmlns:ds="http://schemas.openxmlformats.org/officeDocument/2006/customXml" ds:itemID="{31A7CFB6-5AB6-4EA0-8545-A311A5650DEC}"/>
</file>

<file path=customXml/itemProps41.xml><?xml version="1.0" encoding="utf-8"?>
<ds:datastoreItem xmlns:ds="http://schemas.openxmlformats.org/officeDocument/2006/customXml" ds:itemID="{1E51270D-E495-4C94-B535-3E75515B89ED}"/>
</file>

<file path=customXml/itemProps42.xml><?xml version="1.0" encoding="utf-8"?>
<ds:datastoreItem xmlns:ds="http://schemas.openxmlformats.org/officeDocument/2006/customXml" ds:itemID="{C34A9996-BC63-4BE8-B31F-F7017924801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shubham pancholi</dc:creator>
  <cp:keywords/>
  <dc:description/>
  <cp:lastModifiedBy>shubham pancholi</cp:lastModifiedBy>
  <cp:revision/>
  <dcterms:created xsi:type="dcterms:W3CDTF">2025-11-04T14:06:31Z</dcterms:created>
  <dcterms:modified xsi:type="dcterms:W3CDTF">2025-12-29T20:58:41Z</dcterms:modified>
  <cp:category/>
  <cp:contentStatus/>
</cp:coreProperties>
</file>